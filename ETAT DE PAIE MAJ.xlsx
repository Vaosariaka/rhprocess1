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00" yWindow="96" windowWidth="14112" windowHeight="4932" tabRatio="600" firstSheet="0" activeTab="1" autoFilterDateGrouping="1"/>
  </bookViews>
  <sheets>
    <sheet name="calcul hs" sheetId="1" state="visible" r:id="rId1"/>
    <sheet name="ETAT DE PAIE" sheetId="2" state="visible" r:id="rId2"/>
    <sheet name="Payrolls" sheetId="3" state="visible" r:id="rId3"/>
    <sheet name="Leaves" sheetId="4" state="visible" r:id="rId4"/>
  </sheets>
  <externalReferences>
    <externalReference r:id="rId5"/>
  </externalReferences>
  <definedNames>
    <definedName name="_xlnm.Print_Area" localSheetId="1">'ETAT DE PAIE'!$B$4:$AG$7</definedName>
  </definedNames>
  <calcPr calcId="162913" fullCalcOnLoad="1"/>
</workbook>
</file>

<file path=xl/styles.xml><?xml version="1.0" encoding="utf-8"?>
<styleSheet xmlns="http://schemas.openxmlformats.org/spreadsheetml/2006/main">
  <numFmts count="6">
    <numFmt numFmtId="164" formatCode="&quot;  &quot;@"/>
    <numFmt numFmtId="165" formatCode="_-* #,##0\ _F_-;\-* #,##0\ _F_-;_-* &quot;-&quot;??\ _F_-;_-@_-"/>
    <numFmt numFmtId="166" formatCode="#,##0.00&quot;  &quot;"/>
    <numFmt numFmtId="167" formatCode="_-* #,##0.00\ _F_-;\-* #,##0.00\ _F_-;_-* &quot;-&quot;??\ _F_-;_-@_-"/>
    <numFmt numFmtId="168" formatCode="0\-&quot; heures&quot;"/>
    <numFmt numFmtId="169" formatCode="_-* #,##0.00\ [$€]_-;\-* #,##0.00\ [$€]_-;_-* &quot;-&quot;??\ [$€]_-;_-@_-"/>
  </numFmts>
  <fonts count="13">
    <font>
      <name val="Arial"/>
      <sz val="10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color indexed="9"/>
      <sz val="10"/>
    </font>
    <font>
      <name val="Arial"/>
      <family val="2"/>
      <sz val="10"/>
    </font>
    <font>
      <name val="Book Antiqua"/>
      <family val="1"/>
      <b val="1"/>
      <sz val="10"/>
    </font>
    <font>
      <name val="Book Antiqua"/>
      <family val="1"/>
      <sz val="10"/>
    </font>
    <font>
      <name val="Book Antiqua"/>
      <family val="1"/>
      <b val="1"/>
      <i val="1"/>
      <sz val="10"/>
    </font>
    <font>
      <name val="Book Antiqua"/>
      <family val="1"/>
      <b val="1"/>
      <sz val="8"/>
    </font>
    <font>
      <name val="Book Antiqua"/>
      <family val="1"/>
      <sz val="8"/>
    </font>
    <font>
      <name val="Book Antiqua"/>
      <family val="1"/>
      <b val="1"/>
      <i val="1"/>
      <sz val="8"/>
    </font>
  </fonts>
  <fills count="2">
    <fill>
      <patternFill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6">
    <xf numFmtId="0" fontId="0" fillId="0" borderId="0"/>
    <xf numFmtId="169" fontId="6" fillId="0" borderId="0"/>
    <xf numFmtId="167" fontId="6" fillId="0" borderId="0"/>
    <xf numFmtId="167" fontId="6" fillId="0" borderId="0"/>
    <xf numFmtId="0" fontId="6" fillId="0" borderId="0"/>
    <xf numFmtId="9" fontId="6" fillId="0" borderId="0"/>
  </cellStyleXfs>
  <cellXfs count="15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/>
    </xf>
    <xf numFmtId="164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2">
      <alignment horizontal="center" vertical="center" wrapText="1"/>
    </xf>
    <xf numFmtId="165" fontId="2" fillId="0" borderId="2" applyAlignment="1" pivotButton="0" quotePrefix="0" xfId="2">
      <alignment horizontal="center" vertical="center"/>
    </xf>
    <xf numFmtId="165" fontId="2" fillId="0" borderId="3" applyAlignment="1" pivotButton="0" quotePrefix="0" xfId="2">
      <alignment horizontal="center" vertical="center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5" fontId="3" fillId="0" borderId="5" applyAlignment="1" pivotButton="0" quotePrefix="1" xfId="0">
      <alignment vertical="center"/>
    </xf>
    <xf numFmtId="0" fontId="3" fillId="0" borderId="6" applyAlignment="1" pivotButton="0" quotePrefix="1" xfId="0">
      <alignment vertical="center"/>
    </xf>
    <xf numFmtId="0" fontId="3" fillId="0" borderId="7" applyAlignment="1" pivotButton="0" quotePrefix="1" xfId="0">
      <alignment vertical="center"/>
    </xf>
    <xf numFmtId="0" fontId="3" fillId="0" borderId="7" applyAlignment="1" applyProtection="1" pivotButton="0" quotePrefix="0" xfId="0">
      <alignment vertical="center"/>
      <protection locked="0" hidden="0"/>
    </xf>
    <xf numFmtId="14" fontId="3" fillId="0" borderId="7" applyAlignment="1" applyProtection="1" pivotButton="0" quotePrefix="0" xfId="0">
      <alignment horizontal="center" vertical="center"/>
      <protection locked="0" hidden="0"/>
    </xf>
    <xf numFmtId="0" fontId="3" fillId="0" borderId="7" applyAlignment="1" applyProtection="1" pivotButton="0" quotePrefix="0" xfId="0">
      <alignment horizontal="center" vertical="center"/>
      <protection locked="0" hidden="0"/>
    </xf>
    <xf numFmtId="0" fontId="3" fillId="0" borderId="7" applyAlignment="1" applyProtection="1" pivotButton="0" quotePrefix="0" xfId="0">
      <alignment horizontal="center" vertical="center" wrapText="1"/>
      <protection locked="0" hidden="0"/>
    </xf>
    <xf numFmtId="0" fontId="3" fillId="0" borderId="7" applyAlignment="1" applyProtection="1" pivotButton="0" quotePrefix="0" xfId="0">
      <alignment horizontal="center" vertical="center"/>
      <protection locked="0" hidden="0"/>
    </xf>
    <xf numFmtId="166" fontId="3" fillId="0" borderId="7" applyAlignment="1" applyProtection="1" pivotButton="0" quotePrefix="0" xfId="0">
      <alignment vertical="center"/>
      <protection locked="0" hidden="0"/>
    </xf>
    <xf numFmtId="167" fontId="3" fillId="0" borderId="7" applyAlignment="1" applyProtection="1" pivotButton="0" quotePrefix="0" xfId="2">
      <alignment vertical="center"/>
      <protection locked="0" hidden="0"/>
    </xf>
    <xf numFmtId="166" fontId="3" fillId="0" borderId="7" applyAlignment="1" pivotButton="0" quotePrefix="0" xfId="0">
      <alignment horizontal="right" vertical="center"/>
    </xf>
    <xf numFmtId="166" fontId="3" fillId="0" borderId="7" applyAlignment="1" pivotButton="0" quotePrefix="0" xfId="0">
      <alignment vertical="center"/>
    </xf>
    <xf numFmtId="165" fontId="3" fillId="0" borderId="7" applyAlignment="1" applyProtection="1" pivotButton="0" quotePrefix="0" xfId="2">
      <alignment vertical="center"/>
      <protection locked="0" hidden="0"/>
    </xf>
    <xf numFmtId="167" fontId="3" fillId="0" borderId="7" applyAlignment="1" pivotButton="0" quotePrefix="0" xfId="2">
      <alignment vertical="center"/>
    </xf>
    <xf numFmtId="167" fontId="3" fillId="0" borderId="8" applyAlignment="1" pivotButton="0" quotePrefix="0" xfId="2">
      <alignment vertical="center"/>
    </xf>
    <xf numFmtId="167" fontId="2" fillId="0" borderId="2" applyAlignment="1" pivotButton="0" quotePrefix="0" xfId="0">
      <alignment vertical="center"/>
    </xf>
    <xf numFmtId="167" fontId="2" fillId="0" borderId="0" applyAlignment="1" pivotButton="0" quotePrefix="0" xfId="2">
      <alignment vertical="center"/>
    </xf>
    <xf numFmtId="0" fontId="3" fillId="0" borderId="9" applyAlignment="1" pivotButton="0" quotePrefix="1" xfId="0">
      <alignment vertical="center"/>
    </xf>
    <xf numFmtId="0" fontId="3" fillId="0" borderId="10" applyAlignment="1" pivotButton="0" quotePrefix="0" xfId="0">
      <alignment vertical="center"/>
    </xf>
    <xf numFmtId="0" fontId="3" fillId="0" borderId="10" applyAlignment="1" applyProtection="1" pivotButton="0" quotePrefix="0" xfId="0">
      <alignment vertical="center"/>
      <protection locked="0" hidden="0"/>
    </xf>
    <xf numFmtId="14" fontId="3" fillId="0" borderId="10" applyAlignment="1" applyProtection="1" pivotButton="0" quotePrefix="0" xfId="0">
      <alignment horizontal="center" vertical="center"/>
      <protection locked="0" hidden="0"/>
    </xf>
    <xf numFmtId="168" fontId="3" fillId="0" borderId="10" applyAlignment="1" applyProtection="1" pivotButton="0" quotePrefix="0" xfId="0">
      <alignment horizontal="center" vertical="center"/>
      <protection locked="0" hidden="0"/>
    </xf>
    <xf numFmtId="0" fontId="3" fillId="0" borderId="10" applyAlignment="1" applyProtection="1" pivotButton="0" quotePrefix="0" xfId="0">
      <alignment horizontal="center" vertical="center" wrapText="1"/>
      <protection locked="0" hidden="0"/>
    </xf>
    <xf numFmtId="0" fontId="3" fillId="0" borderId="10" applyAlignment="1" applyProtection="1" pivotButton="0" quotePrefix="0" xfId="0">
      <alignment horizontal="center" vertical="center"/>
      <protection locked="0" hidden="0"/>
    </xf>
    <xf numFmtId="166" fontId="3" fillId="0" borderId="10" applyAlignment="1" applyProtection="1" pivotButton="0" quotePrefix="0" xfId="0">
      <alignment vertical="center"/>
      <protection locked="0" hidden="0"/>
    </xf>
    <xf numFmtId="167" fontId="3" fillId="0" borderId="10" applyAlignment="1" applyProtection="1" pivotButton="0" quotePrefix="0" xfId="2">
      <alignment vertical="center"/>
      <protection locked="0" hidden="0"/>
    </xf>
    <xf numFmtId="166" fontId="3" fillId="0" borderId="10" applyAlignment="1" pivotButton="0" quotePrefix="0" xfId="0">
      <alignment horizontal="right" vertical="center"/>
    </xf>
    <xf numFmtId="166" fontId="3" fillId="0" borderId="10" applyAlignment="1" pivotButton="0" quotePrefix="0" xfId="0">
      <alignment vertical="center"/>
    </xf>
    <xf numFmtId="165" fontId="3" fillId="0" borderId="10" applyAlignment="1" applyProtection="1" pivotButton="0" quotePrefix="0" xfId="2">
      <alignment vertical="center"/>
      <protection locked="0" hidden="0"/>
    </xf>
    <xf numFmtId="167" fontId="3" fillId="0" borderId="10" applyAlignment="1" pivotButton="0" quotePrefix="0" xfId="2">
      <alignment vertical="center"/>
    </xf>
    <xf numFmtId="167" fontId="3" fillId="0" borderId="11" applyAlignment="1" pivotButton="0" quotePrefix="0" xfId="2">
      <alignment vertical="center"/>
    </xf>
    <xf numFmtId="0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2">
      <alignment vertical="center"/>
    </xf>
    <xf numFmtId="165" fontId="1" fillId="0" borderId="0" applyAlignment="1" pivotButton="0" quotePrefix="0" xfId="2">
      <alignment vertical="center"/>
    </xf>
    <xf numFmtId="167" fontId="1" fillId="0" borderId="0" applyAlignment="1" pivotButton="0" quotePrefix="0" xfId="2">
      <alignment vertical="center"/>
    </xf>
    <xf numFmtId="9" fontId="5" fillId="0" borderId="0" applyAlignment="1" pivotButton="0" quotePrefix="0" xfId="5">
      <alignment vertical="center"/>
    </xf>
    <xf numFmtId="0" fontId="4" fillId="0" borderId="0" applyAlignment="1" pivotButton="0" quotePrefix="0" xfId="0">
      <alignment vertical="center"/>
    </xf>
    <xf numFmtId="0" fontId="7" fillId="0" borderId="0" pivotButton="0" quotePrefix="0" xfId="4"/>
    <xf numFmtId="0" fontId="8" fillId="0" borderId="0" pivotButton="0" quotePrefix="0" xfId="4"/>
    <xf numFmtId="0" fontId="9" fillId="0" borderId="0" pivotButton="0" quotePrefix="0" xfId="4"/>
    <xf numFmtId="0" fontId="10" fillId="0" borderId="0" applyAlignment="1" pivotButton="0" quotePrefix="0" xfId="4">
      <alignment vertical="center"/>
    </xf>
    <xf numFmtId="0" fontId="11" fillId="0" borderId="0" applyAlignment="1" pivotButton="0" quotePrefix="0" xfId="4">
      <alignment vertical="center"/>
    </xf>
    <xf numFmtId="0" fontId="12" fillId="0" borderId="0" applyAlignment="1" pivotButton="0" quotePrefix="0" xfId="4">
      <alignment vertical="center"/>
    </xf>
    <xf numFmtId="167" fontId="11" fillId="0" borderId="0" applyAlignment="1" pivotButton="0" quotePrefix="0" xfId="3">
      <alignment vertical="center"/>
    </xf>
    <xf numFmtId="0" fontId="11" fillId="0" borderId="12" applyAlignment="1" pivotButton="0" quotePrefix="0" xfId="4">
      <alignment vertical="center"/>
    </xf>
    <xf numFmtId="0" fontId="11" fillId="0" borderId="13" applyAlignment="1" pivotButton="0" quotePrefix="0" xfId="4">
      <alignment vertical="center"/>
    </xf>
    <xf numFmtId="0" fontId="11" fillId="0" borderId="14" applyAlignment="1" pivotButton="0" quotePrefix="0" xfId="4">
      <alignment vertical="center"/>
    </xf>
    <xf numFmtId="0" fontId="11" fillId="0" borderId="10" applyAlignment="1" pivotButton="0" quotePrefix="0" xfId="4">
      <alignment vertical="center"/>
    </xf>
    <xf numFmtId="0" fontId="10" fillId="0" borderId="15" applyAlignment="1" pivotButton="0" quotePrefix="0" xfId="4">
      <alignment vertical="center"/>
    </xf>
    <xf numFmtId="0" fontId="8" fillId="0" borderId="10" pivotButton="0" quotePrefix="0" xfId="4"/>
    <xf numFmtId="0" fontId="11" fillId="0" borderId="15" applyAlignment="1" pivotButton="0" quotePrefix="0" xfId="4">
      <alignment vertical="center"/>
    </xf>
    <xf numFmtId="9" fontId="11" fillId="0" borderId="14" applyAlignment="1" pivotButton="0" quotePrefix="0" xfId="4">
      <alignment vertical="center"/>
    </xf>
    <xf numFmtId="0" fontId="10" fillId="0" borderId="10" applyAlignment="1" pivotButton="0" quotePrefix="0" xfId="4">
      <alignment vertical="center"/>
    </xf>
    <xf numFmtId="167" fontId="11" fillId="0" borderId="10" applyAlignment="1" pivotButton="0" quotePrefix="0" xfId="3">
      <alignment vertical="center"/>
    </xf>
    <xf numFmtId="2" fontId="11" fillId="0" borderId="10" applyAlignment="1" pivotButton="0" quotePrefix="0" xfId="4">
      <alignment vertical="center"/>
    </xf>
    <xf numFmtId="0" fontId="7" fillId="0" borderId="10" applyAlignment="1" pivotButton="0" quotePrefix="0" xfId="4">
      <alignment vertical="center"/>
    </xf>
    <xf numFmtId="0" fontId="8" fillId="0" borderId="10" applyAlignment="1" pivotButton="0" quotePrefix="0" xfId="4">
      <alignment vertical="center"/>
    </xf>
    <xf numFmtId="167" fontId="8" fillId="0" borderId="15" applyAlignment="1" pivotButton="0" quotePrefix="0" xfId="4">
      <alignment vertical="center"/>
    </xf>
    <xf numFmtId="0" fontId="8" fillId="0" borderId="14" applyAlignment="1" pivotButton="0" quotePrefix="0" xfId="4">
      <alignment vertical="center"/>
    </xf>
    <xf numFmtId="0" fontId="8" fillId="0" borderId="0" applyAlignment="1" pivotButton="0" quotePrefix="0" xfId="4">
      <alignment vertical="center"/>
    </xf>
    <xf numFmtId="0" fontId="7" fillId="0" borderId="10" pivotButton="0" quotePrefix="0" xfId="4"/>
    <xf numFmtId="167" fontId="7" fillId="0" borderId="15" applyAlignment="1" pivotButton="0" quotePrefix="0" xfId="4">
      <alignment vertical="center"/>
    </xf>
    <xf numFmtId="0" fontId="8" fillId="0" borderId="15" applyAlignment="1" pivotButton="0" quotePrefix="0" xfId="4">
      <alignment vertical="center"/>
    </xf>
    <xf numFmtId="0" fontId="7" fillId="0" borderId="16" applyAlignment="1" pivotButton="0" quotePrefix="0" xfId="4">
      <alignment vertical="center"/>
    </xf>
    <xf numFmtId="0" fontId="8" fillId="0" borderId="17" applyAlignment="1" pivotButton="0" quotePrefix="0" xfId="4">
      <alignment vertical="center"/>
    </xf>
    <xf numFmtId="0" fontId="7" fillId="0" borderId="17" applyAlignment="1" pivotButton="0" quotePrefix="0" xfId="4">
      <alignment vertical="center"/>
    </xf>
    <xf numFmtId="167" fontId="7" fillId="0" borderId="17" applyAlignment="1" pivotButton="0" quotePrefix="0" xfId="4">
      <alignment vertical="center"/>
    </xf>
    <xf numFmtId="167" fontId="7" fillId="0" borderId="18" applyAlignment="1" pivotButton="0" quotePrefix="0" xfId="4">
      <alignment vertical="center"/>
    </xf>
    <xf numFmtId="15" fontId="3" fillId="0" borderId="19" applyAlignment="1" pivotButton="0" quotePrefix="1" xfId="0">
      <alignment vertical="center"/>
    </xf>
    <xf numFmtId="0" fontId="3" fillId="0" borderId="20" applyAlignment="1" pivotButton="0" quotePrefix="1" xfId="0">
      <alignment vertical="center"/>
    </xf>
    <xf numFmtId="0" fontId="3" fillId="0" borderId="21" applyAlignment="1" pivotButton="0" quotePrefix="0" xfId="0">
      <alignment vertical="center"/>
    </xf>
    <xf numFmtId="0" fontId="3" fillId="0" borderId="21" applyAlignment="1" applyProtection="1" pivotButton="0" quotePrefix="0" xfId="0">
      <alignment vertical="center"/>
      <protection locked="0" hidden="0"/>
    </xf>
    <xf numFmtId="14" fontId="3" fillId="0" borderId="21" applyAlignment="1" applyProtection="1" pivotButton="0" quotePrefix="0" xfId="0">
      <alignment horizontal="center" vertical="center"/>
      <protection locked="0" hidden="0"/>
    </xf>
    <xf numFmtId="0" fontId="3" fillId="0" borderId="21" applyAlignment="1" applyProtection="1" pivotButton="0" quotePrefix="0" xfId="0">
      <alignment horizontal="center" vertical="center"/>
      <protection locked="0" hidden="0"/>
    </xf>
    <xf numFmtId="0" fontId="3" fillId="0" borderId="21" applyAlignment="1" applyProtection="1" pivotButton="0" quotePrefix="0" xfId="0">
      <alignment horizontal="center" vertical="center" wrapText="1"/>
      <protection locked="0" hidden="0"/>
    </xf>
    <xf numFmtId="0" fontId="3" fillId="0" borderId="21" applyAlignment="1" applyProtection="1" pivotButton="0" quotePrefix="0" xfId="0">
      <alignment horizontal="center" vertical="center"/>
      <protection locked="0" hidden="0"/>
    </xf>
    <xf numFmtId="166" fontId="3" fillId="0" borderId="21" applyAlignment="1" applyProtection="1" pivotButton="0" quotePrefix="0" xfId="0">
      <alignment vertical="center"/>
      <protection locked="0" hidden="0"/>
    </xf>
    <xf numFmtId="167" fontId="3" fillId="0" borderId="21" applyAlignment="1" applyProtection="1" pivotButton="0" quotePrefix="0" xfId="2">
      <alignment vertical="center"/>
      <protection locked="0" hidden="0"/>
    </xf>
    <xf numFmtId="166" fontId="3" fillId="0" borderId="22" applyAlignment="1" applyProtection="1" pivotButton="0" quotePrefix="0" xfId="0">
      <alignment vertical="center"/>
      <protection locked="0" hidden="0"/>
    </xf>
    <xf numFmtId="166" fontId="3" fillId="0" borderId="21" applyAlignment="1" pivotButton="0" quotePrefix="0" xfId="0">
      <alignment horizontal="right" vertical="center"/>
    </xf>
    <xf numFmtId="166" fontId="3" fillId="0" borderId="21" applyAlignment="1" pivotButton="0" quotePrefix="0" xfId="0">
      <alignment vertical="center"/>
    </xf>
    <xf numFmtId="166" fontId="3" fillId="0" borderId="22" applyAlignment="1" pivotButton="0" quotePrefix="0" xfId="0">
      <alignment vertical="center"/>
    </xf>
    <xf numFmtId="165" fontId="3" fillId="0" borderId="21" applyAlignment="1" applyProtection="1" pivotButton="0" quotePrefix="0" xfId="2">
      <alignment vertical="center"/>
      <protection locked="0" hidden="0"/>
    </xf>
    <xf numFmtId="167" fontId="3" fillId="0" borderId="22" applyAlignment="1" pivotButton="0" quotePrefix="0" xfId="2">
      <alignment vertical="center"/>
    </xf>
    <xf numFmtId="167" fontId="3" fillId="0" borderId="21" applyAlignment="1" pivotButton="0" quotePrefix="0" xfId="2">
      <alignment vertical="center"/>
    </xf>
    <xf numFmtId="167" fontId="3" fillId="0" borderId="23" applyAlignment="1" pivotButton="0" quotePrefix="0" xfId="2">
      <alignment vertical="center"/>
    </xf>
    <xf numFmtId="167" fontId="2" fillId="0" borderId="19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0" fontId="10" fillId="0" borderId="24" applyAlignment="1" pivotButton="0" quotePrefix="0" xfId="4">
      <alignment horizontal="center" vertical="center"/>
    </xf>
    <xf numFmtId="0" fontId="10" fillId="0" borderId="25" applyAlignment="1" pivotButton="0" quotePrefix="0" xfId="4">
      <alignment horizontal="center" vertical="center"/>
    </xf>
    <xf numFmtId="0" fontId="10" fillId="0" borderId="12" applyAlignment="1" pivotButton="0" quotePrefix="0" xfId="4">
      <alignment horizontal="center" vertical="center"/>
    </xf>
    <xf numFmtId="0" fontId="8" fillId="0" borderId="10" applyAlignment="1" pivotButton="0" quotePrefix="0" xfId="4">
      <alignment horizontal="center" vertical="center"/>
    </xf>
    <xf numFmtId="167" fontId="11" fillId="0" borderId="0" applyAlignment="1" pivotButton="0" quotePrefix="0" xfId="3">
      <alignment vertical="center"/>
    </xf>
    <xf numFmtId="0" fontId="0" fillId="0" borderId="30" pivotButton="0" quotePrefix="0" xfId="0"/>
    <xf numFmtId="0" fontId="0" fillId="0" borderId="26" pivotButton="0" quotePrefix="0" xfId="0"/>
    <xf numFmtId="167" fontId="11" fillId="0" borderId="10" applyAlignment="1" pivotButton="0" quotePrefix="0" xfId="3">
      <alignment vertical="center"/>
    </xf>
    <xf numFmtId="167" fontId="8" fillId="0" borderId="15" applyAlignment="1" pivotButton="0" quotePrefix="0" xfId="4">
      <alignment vertical="center"/>
    </xf>
    <xf numFmtId="0" fontId="0" fillId="0" borderId="33" pivotButton="0" quotePrefix="0" xfId="0"/>
    <xf numFmtId="167" fontId="7" fillId="0" borderId="15" applyAlignment="1" pivotButton="0" quotePrefix="0" xfId="4">
      <alignment vertical="center"/>
    </xf>
    <xf numFmtId="0" fontId="0" fillId="0" borderId="27" pivotButton="0" quotePrefix="0" xfId="0"/>
    <xf numFmtId="167" fontId="7" fillId="0" borderId="17" applyAlignment="1" pivotButton="0" quotePrefix="0" xfId="4">
      <alignment vertical="center"/>
    </xf>
    <xf numFmtId="167" fontId="7" fillId="0" borderId="18" applyAlignment="1" pivotButton="0" quotePrefix="0" xfId="4">
      <alignment vertical="center"/>
    </xf>
    <xf numFmtId="165" fontId="0" fillId="0" borderId="0" applyAlignment="1" pivotButton="0" quotePrefix="0" xfId="2">
      <alignment vertical="center"/>
    </xf>
    <xf numFmtId="165" fontId="1" fillId="0" borderId="0" applyAlignment="1" pivotButton="0" quotePrefix="0" xfId="2">
      <alignment vertical="center"/>
    </xf>
    <xf numFmtId="165" fontId="2" fillId="0" borderId="1" applyAlignment="1" pivotButton="0" quotePrefix="0" xfId="2">
      <alignment horizontal="center" vertical="center" wrapText="1"/>
    </xf>
    <xf numFmtId="165" fontId="2" fillId="0" borderId="2" applyAlignment="1" pivotButton="0" quotePrefix="0" xfId="2">
      <alignment horizontal="center" vertical="center"/>
    </xf>
    <xf numFmtId="165" fontId="2" fillId="0" borderId="3" applyAlignment="1" pivotButton="0" quotePrefix="0" xfId="2">
      <alignment horizontal="center" vertical="center"/>
    </xf>
    <xf numFmtId="166" fontId="3" fillId="0" borderId="7" applyAlignment="1" applyProtection="1" pivotButton="0" quotePrefix="0" xfId="0">
      <alignment vertical="center"/>
      <protection locked="0" hidden="0"/>
    </xf>
    <xf numFmtId="167" fontId="3" fillId="0" borderId="7" applyAlignment="1" applyProtection="1" pivotButton="0" quotePrefix="0" xfId="2">
      <alignment vertical="center"/>
      <protection locked="0" hidden="0"/>
    </xf>
    <xf numFmtId="166" fontId="3" fillId="0" borderId="7" applyAlignment="1" pivotButton="0" quotePrefix="0" xfId="0">
      <alignment horizontal="right" vertical="center"/>
    </xf>
    <xf numFmtId="166" fontId="3" fillId="0" borderId="7" applyAlignment="1" pivotButton="0" quotePrefix="0" xfId="0">
      <alignment vertical="center"/>
    </xf>
    <xf numFmtId="165" fontId="3" fillId="0" borderId="7" applyAlignment="1" applyProtection="1" pivotButton="0" quotePrefix="0" xfId="2">
      <alignment vertical="center"/>
      <protection locked="0" hidden="0"/>
    </xf>
    <xf numFmtId="167" fontId="3" fillId="0" borderId="7" applyAlignment="1" pivotButton="0" quotePrefix="0" xfId="2">
      <alignment vertical="center"/>
    </xf>
    <xf numFmtId="167" fontId="3" fillId="0" borderId="8" applyAlignment="1" pivotButton="0" quotePrefix="0" xfId="2">
      <alignment vertical="center"/>
    </xf>
    <xf numFmtId="167" fontId="2" fillId="0" borderId="2" applyAlignment="1" pivotButton="0" quotePrefix="0" xfId="0">
      <alignment vertical="center"/>
    </xf>
    <xf numFmtId="167" fontId="2" fillId="0" borderId="0" applyAlignment="1" pivotButton="0" quotePrefix="0" xfId="2">
      <alignment vertical="center"/>
    </xf>
    <xf numFmtId="166" fontId="3" fillId="0" borderId="10" applyAlignment="1" applyProtection="1" pivotButton="0" quotePrefix="0" xfId="0">
      <alignment vertical="center"/>
      <protection locked="0" hidden="0"/>
    </xf>
    <xf numFmtId="167" fontId="3" fillId="0" borderId="10" applyAlignment="1" applyProtection="1" pivotButton="0" quotePrefix="0" xfId="2">
      <alignment vertical="center"/>
      <protection locked="0" hidden="0"/>
    </xf>
    <xf numFmtId="166" fontId="3" fillId="0" borderId="10" applyAlignment="1" pivotButton="0" quotePrefix="0" xfId="0">
      <alignment horizontal="right" vertical="center"/>
    </xf>
    <xf numFmtId="166" fontId="3" fillId="0" borderId="10" applyAlignment="1" pivotButton="0" quotePrefix="0" xfId="0">
      <alignment vertical="center"/>
    </xf>
    <xf numFmtId="165" fontId="3" fillId="0" borderId="10" applyAlignment="1" applyProtection="1" pivotButton="0" quotePrefix="0" xfId="2">
      <alignment vertical="center"/>
      <protection locked="0" hidden="0"/>
    </xf>
    <xf numFmtId="167" fontId="3" fillId="0" borderId="10" applyAlignment="1" pivotButton="0" quotePrefix="0" xfId="2">
      <alignment vertical="center"/>
    </xf>
    <xf numFmtId="167" fontId="3" fillId="0" borderId="11" applyAlignment="1" pivotButton="0" quotePrefix="0" xfId="2">
      <alignment vertical="center"/>
    </xf>
    <xf numFmtId="166" fontId="3" fillId="0" borderId="21" applyAlignment="1" applyProtection="1" pivotButton="0" quotePrefix="0" xfId="0">
      <alignment vertical="center"/>
      <protection locked="0" hidden="0"/>
    </xf>
    <xf numFmtId="167" fontId="3" fillId="0" borderId="21" applyAlignment="1" applyProtection="1" pivotButton="0" quotePrefix="0" xfId="2">
      <alignment vertical="center"/>
      <protection locked="0" hidden="0"/>
    </xf>
    <xf numFmtId="166" fontId="3" fillId="0" borderId="22" applyAlignment="1" applyProtection="1" pivotButton="0" quotePrefix="0" xfId="0">
      <alignment vertical="center"/>
      <protection locked="0" hidden="0"/>
    </xf>
    <xf numFmtId="166" fontId="3" fillId="0" borderId="21" applyAlignment="1" pivotButton="0" quotePrefix="0" xfId="0">
      <alignment horizontal="right" vertical="center"/>
    </xf>
    <xf numFmtId="166" fontId="3" fillId="0" borderId="21" applyAlignment="1" pivotButton="0" quotePrefix="0" xfId="0">
      <alignment vertical="center"/>
    </xf>
    <xf numFmtId="166" fontId="3" fillId="0" borderId="22" applyAlignment="1" pivotButton="0" quotePrefix="0" xfId="0">
      <alignment vertical="center"/>
    </xf>
    <xf numFmtId="165" fontId="3" fillId="0" borderId="21" applyAlignment="1" applyProtection="1" pivotButton="0" quotePrefix="0" xfId="2">
      <alignment vertical="center"/>
      <protection locked="0" hidden="0"/>
    </xf>
    <xf numFmtId="167" fontId="3" fillId="0" borderId="22" applyAlignment="1" pivotButton="0" quotePrefix="0" xfId="2">
      <alignment vertical="center"/>
    </xf>
    <xf numFmtId="167" fontId="3" fillId="0" borderId="21" applyAlignment="1" pivotButton="0" quotePrefix="0" xfId="2">
      <alignment vertical="center"/>
    </xf>
    <xf numFmtId="167" fontId="3" fillId="0" borderId="23" applyAlignment="1" pivotButton="0" quotePrefix="0" xfId="2">
      <alignment vertical="center"/>
    </xf>
    <xf numFmtId="167" fontId="2" fillId="0" borderId="19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1" fillId="0" borderId="0" applyAlignment="1" pivotButton="0" quotePrefix="0" xfId="2">
      <alignment vertical="center"/>
    </xf>
  </cellXfs>
  <cellStyles count="6">
    <cellStyle name="Normal" xfId="0" builtinId="0"/>
    <cellStyle name="Euro" xfId="1"/>
    <cellStyle name="Milliers" xfId="2" builtinId="3"/>
    <cellStyle name="Milliers 2" xfId="3"/>
    <cellStyle name="Normal 2" xfId="4"/>
    <cellStyle name="Pourcentage" xfId="5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ublic\SIDEXAM\PERSONNEL\FICHE%20DE%20PAIE%20SIDEXAM\PAIEIGR%20(D13B7SDX1_1)%20LF%202009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GRarrondi"/>
      <sheetName val="REC G. Perm."/>
      <sheetName val="ETAT IRSA"/>
      <sheetName val="IGR"/>
      <sheetName val="calcul hs"/>
      <sheetName val="MOIS"/>
      <sheetName val="PAIEjuin"/>
      <sheetName val="RECAP RAPPEL PERM"/>
      <sheetName val="RAPPEL"/>
      <sheetName val="IMPRIME"/>
    </sheetNames>
    <sheetDataSet>
      <sheetData sheetId="0"/>
      <sheetData sheetId="1"/>
      <sheetData sheetId="2"/>
      <sheetData sheetId="3"/>
      <sheetData sheetId="4">
        <row r="14">
          <cell r="D14">
            <v>860.2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view="pageBreakPreview" topLeftCell="A11" zoomScaleNormal="100" workbookViewId="0">
      <selection activeCell="D40" sqref="D40"/>
    </sheetView>
  </sheetViews>
  <sheetFormatPr baseColWidth="10" defaultColWidth="0" defaultRowHeight="13.8"/>
  <cols>
    <col width="37.109375" customWidth="1" style="54" min="1" max="1"/>
    <col width="14.33203125" customWidth="1" style="54" min="2" max="2"/>
    <col width="11.6640625" bestFit="1" customWidth="1" style="54" min="3" max="4"/>
    <col width="13.44140625" bestFit="1" customWidth="1" style="54" min="5" max="5"/>
    <col width="11.88671875" customWidth="1" style="54" min="6" max="6"/>
    <col width="16.6640625" bestFit="1" customWidth="1" style="54" min="7" max="7"/>
    <col width="4.88671875" customWidth="1" style="54" min="8" max="8"/>
    <col hidden="1" width="13" customWidth="1" style="54" min="9" max="16384"/>
  </cols>
  <sheetData>
    <row r="1">
      <c r="A1" s="53" t="inlineStr">
        <is>
          <t>SIDEXAM SA</t>
        </is>
      </c>
      <c r="E1" s="55" t="inlineStr">
        <is>
          <t>PLAFONNEMENT CNAPS</t>
        </is>
      </c>
    </row>
    <row r="2">
      <c r="A2" s="56">
        <f>+TEXT(TODAY(),"mmmm aa")</f>
        <v/>
      </c>
      <c r="B2" s="56" t="inlineStr">
        <is>
          <t>CALCUL HEURES SUPPLEMENTAIRE</t>
        </is>
      </c>
      <c r="C2" s="57" t="n"/>
      <c r="D2" s="57" t="n"/>
      <c r="E2" s="58" t="inlineStr">
        <is>
          <t>AGRI</t>
        </is>
      </c>
      <c r="F2" s="57" t="n"/>
      <c r="G2" s="109">
        <f>71000*8</f>
        <v/>
      </c>
      <c r="H2" s="57" t="n"/>
      <c r="I2" s="57" t="n"/>
      <c r="J2" s="57" t="n"/>
    </row>
    <row r="3" ht="14.4" customHeight="1" thickBot="1">
      <c r="A3" s="57" t="n"/>
      <c r="B3" s="57" t="n"/>
      <c r="C3" s="57" t="n"/>
      <c r="D3" s="57" t="inlineStr">
        <is>
          <t>BAREME HS</t>
        </is>
      </c>
      <c r="E3" s="58" t="inlineStr">
        <is>
          <t>NON AGRI</t>
        </is>
      </c>
      <c r="F3" s="57" t="n"/>
      <c r="G3" s="109" t="n"/>
      <c r="H3" s="57" t="n"/>
      <c r="I3" s="57" t="n"/>
      <c r="J3" s="57" t="n"/>
    </row>
    <row r="4">
      <c r="A4" s="105" t="inlineStr">
        <is>
          <t>HEURES SUPPLEMENTAIRES</t>
        </is>
      </c>
      <c r="B4" s="60" t="n"/>
      <c r="C4" s="60" t="n"/>
      <c r="D4" s="107" t="inlineStr">
        <is>
          <t>HS &lt; 20 HRS PAR SEMAINE</t>
        </is>
      </c>
      <c r="E4" s="110" t="n"/>
      <c r="F4" s="60" t="n"/>
      <c r="G4" s="61" t="n"/>
      <c r="H4" s="62" t="n"/>
      <c r="I4" s="57" t="n"/>
      <c r="J4" s="57" t="n"/>
    </row>
    <row r="5">
      <c r="A5" s="111" t="n"/>
      <c r="B5" s="63" t="n"/>
      <c r="C5" s="63" t="n"/>
      <c r="D5" s="63" t="n"/>
      <c r="E5" s="63" t="n"/>
      <c r="F5" s="63" t="n"/>
      <c r="G5" s="64" t="inlineStr">
        <is>
          <t>Heures</t>
        </is>
      </c>
      <c r="H5" s="62" t="n"/>
      <c r="I5" s="57" t="n"/>
      <c r="J5" s="57" t="n"/>
    </row>
    <row r="6">
      <c r="A6" s="111" t="n"/>
      <c r="B6" s="63" t="n"/>
      <c r="C6" s="63" t="n"/>
      <c r="D6" s="65" t="n"/>
      <c r="E6" s="63" t="n"/>
      <c r="F6" s="63" t="inlineStr">
        <is>
          <t>8 PREMIER HR</t>
        </is>
      </c>
      <c r="G6" s="66" t="n">
        <v>8</v>
      </c>
      <c r="H6" s="67" t="n">
        <v>0.3</v>
      </c>
      <c r="I6" s="57" t="n"/>
      <c r="J6" s="57" t="n"/>
    </row>
    <row r="7">
      <c r="A7" s="111" t="n"/>
      <c r="B7" s="63" t="n"/>
      <c r="C7" s="63" t="n"/>
      <c r="D7" s="65" t="n"/>
      <c r="E7" s="63" t="n"/>
      <c r="F7" s="63" t="inlineStr">
        <is>
          <t>12 HRS RESTANT</t>
        </is>
      </c>
      <c r="G7" s="66" t="n">
        <v>12</v>
      </c>
      <c r="H7" s="67" t="n">
        <v>0.5</v>
      </c>
      <c r="I7" s="57" t="n"/>
      <c r="J7" s="57" t="n"/>
    </row>
    <row r="8">
      <c r="A8" s="111" t="n"/>
      <c r="B8" s="63" t="n"/>
      <c r="C8" s="63" t="n"/>
      <c r="D8" s="63" t="n"/>
      <c r="E8" s="63" t="n"/>
      <c r="F8" s="63" t="inlineStr">
        <is>
          <t>DIM</t>
        </is>
      </c>
      <c r="G8" s="66" t="n">
        <v>5</v>
      </c>
      <c r="H8" s="67" t="n">
        <v>0.4</v>
      </c>
      <c r="I8" s="57" t="n"/>
      <c r="J8" s="57" t="n"/>
    </row>
    <row r="9">
      <c r="A9" s="111" t="n"/>
      <c r="B9" s="63" t="n"/>
      <c r="C9" s="63" t="n"/>
      <c r="D9" s="63" t="n"/>
      <c r="E9" s="63" t="n"/>
      <c r="F9" s="63" t="inlineStr">
        <is>
          <t>FERIE</t>
        </is>
      </c>
      <c r="G9" s="66" t="n">
        <v>5</v>
      </c>
      <c r="H9" s="67" t="n">
        <v>1</v>
      </c>
      <c r="I9" s="57" t="n"/>
      <c r="J9" s="57" t="n"/>
    </row>
    <row r="10">
      <c r="A10" s="111" t="n"/>
      <c r="B10" s="63" t="n"/>
      <c r="C10" s="63" t="n"/>
      <c r="D10" s="63" t="n"/>
      <c r="E10" s="68" t="inlineStr">
        <is>
          <t>HEURES</t>
        </is>
      </c>
      <c r="F10" s="68" t="inlineStr">
        <is>
          <t>TAUX</t>
        </is>
      </c>
      <c r="G10" s="64" t="inlineStr">
        <is>
          <t>MONTANT</t>
        </is>
      </c>
      <c r="H10" s="67" t="n"/>
      <c r="I10" s="57" t="n"/>
      <c r="J10" s="57" t="n"/>
    </row>
    <row r="11">
      <c r="A11" s="111" t="n"/>
      <c r="B11" s="63" t="n"/>
      <c r="C11" s="63" t="n"/>
      <c r="D11" s="63" t="n"/>
      <c r="E11" s="68" t="inlineStr">
        <is>
          <t>BASE</t>
        </is>
      </c>
      <c r="F11" s="63" t="n"/>
      <c r="G11" s="66" t="n"/>
      <c r="H11" s="62" t="n"/>
      <c r="I11" s="57" t="n"/>
      <c r="J11" s="57" t="n"/>
    </row>
    <row r="12">
      <c r="A12" s="111" t="n"/>
      <c r="B12" s="63" t="n"/>
      <c r="C12" s="63" t="n"/>
      <c r="D12" s="63" t="n"/>
      <c r="E12" s="112" t="n">
        <v>250000</v>
      </c>
      <c r="F12" s="70" t="n">
        <v>173.33</v>
      </c>
      <c r="G12" s="66" t="inlineStr">
        <is>
          <t xml:space="preserve">HRS </t>
        </is>
      </c>
      <c r="H12" s="62" t="n"/>
      <c r="I12" s="57" t="n"/>
      <c r="J12" s="57" t="n"/>
    </row>
    <row r="13">
      <c r="A13" s="111" t="n"/>
      <c r="B13" s="68" t="inlineStr">
        <is>
          <t>1semaine</t>
        </is>
      </c>
      <c r="C13" s="63" t="n"/>
      <c r="D13" s="63" t="inlineStr">
        <is>
          <t>BASE / HRS</t>
        </is>
      </c>
      <c r="E13" s="112">
        <f>+E12/F12</f>
        <v/>
      </c>
      <c r="F13" s="63" t="n"/>
      <c r="G13" s="66" t="n"/>
      <c r="H13" s="62" t="n"/>
      <c r="I13" s="57" t="n"/>
      <c r="J13" s="57" t="n"/>
    </row>
    <row r="14">
      <c r="A14" s="111" t="n"/>
      <c r="B14" s="71" t="inlineStr">
        <is>
          <t>8 premier hrs</t>
        </is>
      </c>
      <c r="C14" s="108" t="n">
        <v>12</v>
      </c>
      <c r="D14" s="72">
        <f>ROUND(E12/F12,2)</f>
        <v/>
      </c>
      <c r="E14" s="72">
        <f>IF(C14&gt;8,8,C14)</f>
        <v/>
      </c>
      <c r="F14" s="72" t="n">
        <v>1.3</v>
      </c>
      <c r="G14" s="113">
        <f>+E14*$E$13*F14</f>
        <v/>
      </c>
      <c r="H14" s="74" t="n"/>
      <c r="I14" s="75" t="n"/>
      <c r="J14" s="75" t="n"/>
    </row>
    <row r="15">
      <c r="A15" s="111" t="n"/>
      <c r="B15" s="71" t="inlineStr">
        <is>
          <t>12 hrs restant</t>
        </is>
      </c>
      <c r="C15" s="114" t="n"/>
      <c r="D15" s="72" t="n"/>
      <c r="E15" s="72">
        <f>IF(C14-E14&gt;12,12,C14-E14)</f>
        <v/>
      </c>
      <c r="F15" s="72" t="n">
        <v>1.5</v>
      </c>
      <c r="G15" s="113">
        <f>+E15*$E$13*F15</f>
        <v/>
      </c>
      <c r="H15" s="74" t="n"/>
      <c r="I15" s="75" t="n"/>
      <c r="J15" s="75" t="n"/>
    </row>
    <row r="16">
      <c r="A16" s="111" t="n"/>
      <c r="B16" s="71" t="inlineStr">
        <is>
          <t>week-end</t>
        </is>
      </c>
      <c r="C16" s="71" t="n"/>
      <c r="D16" s="72" t="n"/>
      <c r="E16" s="72">
        <f>+C16</f>
        <v/>
      </c>
      <c r="F16" s="72" t="n">
        <v>1.4</v>
      </c>
      <c r="G16" s="113">
        <f>+E16*$E$13*F16</f>
        <v/>
      </c>
      <c r="H16" s="74" t="n"/>
      <c r="I16" s="75" t="n"/>
      <c r="J16" s="75" t="n"/>
    </row>
    <row r="17">
      <c r="A17" s="111" t="n"/>
      <c r="B17" s="76" t="inlineStr">
        <is>
          <t>Fér</t>
        </is>
      </c>
      <c r="C17" s="71" t="n"/>
      <c r="D17" s="72" t="n"/>
      <c r="E17" s="72">
        <f>+C17</f>
        <v/>
      </c>
      <c r="F17" s="72">
        <f>200/100</f>
        <v/>
      </c>
      <c r="G17" s="113">
        <f>+E17*$E$13*F17</f>
        <v/>
      </c>
      <c r="H17" s="74" t="n"/>
      <c r="I17" s="75" t="n"/>
      <c r="J17" s="75" t="n"/>
    </row>
    <row r="18">
      <c r="A18" s="111" t="n"/>
      <c r="B18" s="71" t="n"/>
      <c r="C18" s="71" t="n"/>
      <c r="D18" s="72" t="n"/>
      <c r="E18" s="71" t="inlineStr">
        <is>
          <t>TOTAL HS</t>
        </is>
      </c>
      <c r="F18" s="71">
        <f>SUM(E14:E17)</f>
        <v/>
      </c>
      <c r="G18" s="115">
        <f>SUM(G14:G17)</f>
        <v/>
      </c>
      <c r="H18" s="74" t="n"/>
      <c r="I18" s="75" t="n"/>
      <c r="J18" s="75" t="n"/>
    </row>
    <row r="19">
      <c r="A19" s="111" t="n"/>
      <c r="B19" s="63" t="n"/>
      <c r="C19" s="63" t="n"/>
      <c r="D19" s="63" t="n"/>
      <c r="E19" s="68" t="inlineStr">
        <is>
          <t>BASE</t>
        </is>
      </c>
      <c r="F19" s="63" t="n"/>
      <c r="G19" s="66" t="n"/>
      <c r="H19" s="74" t="n"/>
      <c r="I19" s="75" t="n"/>
      <c r="J19" s="75" t="n"/>
    </row>
    <row r="20">
      <c r="A20" s="111" t="n"/>
      <c r="B20" s="63" t="n"/>
      <c r="C20" s="63" t="n"/>
      <c r="D20" s="63" t="n"/>
      <c r="E20" s="112">
        <f>+E12</f>
        <v/>
      </c>
      <c r="F20" s="70" t="n">
        <v>173.33</v>
      </c>
      <c r="G20" s="66" t="inlineStr">
        <is>
          <t xml:space="preserve">HRS </t>
        </is>
      </c>
      <c r="H20" s="74" t="n"/>
      <c r="I20" s="75" t="n"/>
      <c r="J20" s="75" t="n"/>
    </row>
    <row r="21">
      <c r="A21" s="111" t="n"/>
      <c r="B21" s="63" t="inlineStr">
        <is>
          <t>2 semaine</t>
        </is>
      </c>
      <c r="C21" s="63" t="n"/>
      <c r="D21" s="63" t="inlineStr">
        <is>
          <t>BASE / HRS</t>
        </is>
      </c>
      <c r="E21" s="112">
        <f>+E20/F20</f>
        <v/>
      </c>
      <c r="F21" s="63" t="n"/>
      <c r="G21" s="66" t="n"/>
      <c r="H21" s="74" t="n"/>
      <c r="I21" s="75" t="n"/>
      <c r="J21" s="75" t="n"/>
    </row>
    <row r="22">
      <c r="A22" s="111" t="n"/>
      <c r="B22" s="71" t="inlineStr">
        <is>
          <t>8 premier hrs</t>
        </is>
      </c>
      <c r="C22" s="108" t="n"/>
      <c r="D22" s="72">
        <f>+D14</f>
        <v/>
      </c>
      <c r="E22" s="72">
        <f>IF(C22&gt;8,8,C22)</f>
        <v/>
      </c>
      <c r="F22" s="72" t="n">
        <v>1.3</v>
      </c>
      <c r="G22" s="113">
        <f>+E22*$E$13*F22</f>
        <v/>
      </c>
      <c r="H22" s="74" t="n"/>
      <c r="I22" s="75" t="n"/>
      <c r="J22" s="75" t="n"/>
    </row>
    <row r="23">
      <c r="A23" s="111" t="n"/>
      <c r="B23" s="71" t="inlineStr">
        <is>
          <t>12 hrs restant</t>
        </is>
      </c>
      <c r="C23" s="114" t="n"/>
      <c r="D23" s="72" t="n"/>
      <c r="E23" s="72">
        <f>IF(C22-E22&gt;12,12,C22-E22)</f>
        <v/>
      </c>
      <c r="F23" s="72" t="n">
        <v>1.5</v>
      </c>
      <c r="G23" s="113">
        <f>+E23*$E$13*F23</f>
        <v/>
      </c>
      <c r="H23" s="74" t="n"/>
      <c r="I23" s="75" t="n"/>
      <c r="J23" s="75" t="n"/>
    </row>
    <row r="24">
      <c r="A24" s="111" t="n"/>
      <c r="B24" s="71" t="inlineStr">
        <is>
          <t>week-end</t>
        </is>
      </c>
      <c r="C24" s="72" t="n"/>
      <c r="D24" s="72" t="n"/>
      <c r="E24" s="72">
        <f>+C24</f>
        <v/>
      </c>
      <c r="F24" s="72" t="n">
        <v>1.4</v>
      </c>
      <c r="G24" s="113">
        <f>+E24*$E$13*F24</f>
        <v/>
      </c>
      <c r="H24" s="74" t="n"/>
      <c r="I24" s="75" t="n"/>
      <c r="J24" s="75" t="n"/>
    </row>
    <row r="25">
      <c r="A25" s="111" t="n"/>
      <c r="B25" s="76" t="inlineStr">
        <is>
          <t>Fér</t>
        </is>
      </c>
      <c r="C25" s="72" t="n"/>
      <c r="D25" s="72" t="n"/>
      <c r="E25" s="72">
        <f>+C25</f>
        <v/>
      </c>
      <c r="F25" s="72">
        <f>200/100</f>
        <v/>
      </c>
      <c r="G25" s="113">
        <f>+E25*$E$13*F25</f>
        <v/>
      </c>
      <c r="H25" s="74" t="n"/>
      <c r="I25" s="75" t="n"/>
      <c r="J25" s="75" t="n"/>
    </row>
    <row r="26">
      <c r="A26" s="111" t="n"/>
      <c r="B26" s="72" t="n"/>
      <c r="C26" s="72" t="n"/>
      <c r="D26" s="72" t="n"/>
      <c r="E26" s="71" t="inlineStr">
        <is>
          <t>TOTAL HS</t>
        </is>
      </c>
      <c r="F26" s="71">
        <f>SUM(E22:E25)</f>
        <v/>
      </c>
      <c r="G26" s="115">
        <f>SUM(G22:G25)</f>
        <v/>
      </c>
      <c r="H26" s="74" t="n"/>
      <c r="I26" s="75" t="n"/>
      <c r="J26" s="75" t="n"/>
    </row>
    <row r="27">
      <c r="A27" s="111" t="n"/>
      <c r="B27" s="63" t="n"/>
      <c r="C27" s="63" t="n"/>
      <c r="D27" s="63" t="n"/>
      <c r="E27" s="63" t="inlineStr">
        <is>
          <t>BASE</t>
        </is>
      </c>
      <c r="F27" s="63" t="n"/>
      <c r="G27" s="66" t="n"/>
      <c r="H27" s="74" t="n"/>
      <c r="I27" s="75" t="n"/>
      <c r="J27" s="75" t="n"/>
    </row>
    <row r="28">
      <c r="A28" s="111" t="n"/>
      <c r="B28" s="63" t="n"/>
      <c r="C28" s="63" t="n"/>
      <c r="D28" s="63" t="n"/>
      <c r="E28" s="112">
        <f>+E20</f>
        <v/>
      </c>
      <c r="F28" s="70" t="n">
        <v>173.33</v>
      </c>
      <c r="G28" s="66" t="inlineStr">
        <is>
          <t xml:space="preserve">HRS </t>
        </is>
      </c>
      <c r="H28" s="74" t="n"/>
      <c r="I28" s="75" t="n"/>
      <c r="J28" s="75" t="n"/>
    </row>
    <row r="29">
      <c r="A29" s="111" t="n"/>
      <c r="B29" s="63" t="inlineStr">
        <is>
          <t>3 semaine</t>
        </is>
      </c>
      <c r="C29" s="63" t="n"/>
      <c r="D29" s="63" t="inlineStr">
        <is>
          <t>BASE / HRS</t>
        </is>
      </c>
      <c r="E29" s="112">
        <f>+E28/F28</f>
        <v/>
      </c>
      <c r="F29" s="63" t="n"/>
      <c r="G29" s="66" t="n"/>
      <c r="H29" s="74" t="n"/>
      <c r="I29" s="75" t="n"/>
      <c r="J29" s="75" t="n"/>
    </row>
    <row r="30">
      <c r="A30" s="111" t="n"/>
      <c r="B30" s="71" t="inlineStr">
        <is>
          <t>8 premier hrs</t>
        </is>
      </c>
      <c r="C30" s="108" t="n"/>
      <c r="D30" s="72">
        <f>+D22</f>
        <v/>
      </c>
      <c r="E30" s="72">
        <f>IF(C30&gt;8,8,C30)</f>
        <v/>
      </c>
      <c r="F30" s="72" t="n">
        <v>1.3</v>
      </c>
      <c r="G30" s="113">
        <f>+E30*$E$13*F30</f>
        <v/>
      </c>
      <c r="H30" s="74" t="n"/>
      <c r="I30" s="75" t="n"/>
      <c r="J30" s="75" t="n"/>
    </row>
    <row r="31">
      <c r="A31" s="111" t="n"/>
      <c r="B31" s="71" t="inlineStr">
        <is>
          <t>12 hrs restant</t>
        </is>
      </c>
      <c r="C31" s="114" t="n"/>
      <c r="D31" s="72" t="n"/>
      <c r="E31" s="72">
        <f>IF(C30-E30&gt;12,12,C30-E30)</f>
        <v/>
      </c>
      <c r="F31" s="72" t="n">
        <v>1.5</v>
      </c>
      <c r="G31" s="113">
        <f>+E31*$E$13*F31</f>
        <v/>
      </c>
      <c r="H31" s="74" t="n"/>
      <c r="I31" s="75" t="n"/>
      <c r="J31" s="75" t="n"/>
    </row>
    <row r="32">
      <c r="A32" s="111" t="n"/>
      <c r="B32" s="71" t="inlineStr">
        <is>
          <t>week-end</t>
        </is>
      </c>
      <c r="C32" s="72" t="n"/>
      <c r="D32" s="72" t="n"/>
      <c r="E32" s="72">
        <f>+C32</f>
        <v/>
      </c>
      <c r="F32" s="72" t="n">
        <v>1.4</v>
      </c>
      <c r="G32" s="113">
        <f>+E32*$E$13*F32</f>
        <v/>
      </c>
      <c r="H32" s="74" t="n"/>
      <c r="I32" s="75" t="n"/>
      <c r="J32" s="75" t="n"/>
    </row>
    <row r="33">
      <c r="A33" s="111" t="n"/>
      <c r="B33" s="76" t="inlineStr">
        <is>
          <t>Fér</t>
        </is>
      </c>
      <c r="C33" s="72" t="n"/>
      <c r="D33" s="72" t="n"/>
      <c r="E33" s="72">
        <f>+C33</f>
        <v/>
      </c>
      <c r="F33" s="72">
        <f>200/100</f>
        <v/>
      </c>
      <c r="G33" s="113">
        <f>+E33*$E$13*F33</f>
        <v/>
      </c>
      <c r="H33" s="74" t="n"/>
      <c r="I33" s="75" t="n"/>
      <c r="J33" s="75" t="n"/>
    </row>
    <row r="34">
      <c r="A34" s="111" t="n"/>
      <c r="B34" s="72" t="n"/>
      <c r="C34" s="72" t="n"/>
      <c r="D34" s="72" t="n"/>
      <c r="E34" s="71" t="inlineStr">
        <is>
          <t>TOTAL HS</t>
        </is>
      </c>
      <c r="F34" s="71">
        <f>SUM(E30:E33)</f>
        <v/>
      </c>
      <c r="G34" s="115">
        <f>SUM(G30:G33)</f>
        <v/>
      </c>
      <c r="H34" s="74" t="n"/>
      <c r="I34" s="75" t="n"/>
      <c r="J34" s="75" t="n"/>
    </row>
    <row r="35">
      <c r="A35" s="111" t="n"/>
      <c r="B35" s="63" t="n"/>
      <c r="C35" s="63" t="n"/>
      <c r="D35" s="63" t="n"/>
      <c r="E35" s="63" t="inlineStr">
        <is>
          <t>BASE</t>
        </is>
      </c>
      <c r="F35" s="63" t="n"/>
      <c r="G35" s="66" t="n"/>
      <c r="H35" s="74" t="n"/>
      <c r="I35" s="75" t="n"/>
      <c r="J35" s="75" t="n"/>
    </row>
    <row r="36">
      <c r="A36" s="111" t="n"/>
      <c r="B36" s="63" t="n"/>
      <c r="C36" s="63" t="n"/>
      <c r="D36" s="63" t="n"/>
      <c r="E36" s="112">
        <f>+E28</f>
        <v/>
      </c>
      <c r="F36" s="70" t="n">
        <v>173.33</v>
      </c>
      <c r="G36" s="66" t="inlineStr">
        <is>
          <t xml:space="preserve">HRS </t>
        </is>
      </c>
      <c r="H36" s="74" t="n"/>
      <c r="I36" s="75" t="n"/>
      <c r="J36" s="75" t="n"/>
    </row>
    <row r="37">
      <c r="A37" s="111" t="n"/>
      <c r="B37" s="63" t="inlineStr">
        <is>
          <t>4 semaine</t>
        </is>
      </c>
      <c r="C37" s="63" t="n"/>
      <c r="D37" s="63" t="inlineStr">
        <is>
          <t>BASE / HRS</t>
        </is>
      </c>
      <c r="E37" s="112">
        <f>+E36/F36</f>
        <v/>
      </c>
      <c r="F37" s="63" t="n"/>
      <c r="G37" s="66" t="n"/>
      <c r="H37" s="74" t="n"/>
      <c r="I37" s="75" t="n"/>
      <c r="J37" s="75" t="n"/>
    </row>
    <row r="38">
      <c r="A38" s="111" t="n"/>
      <c r="B38" s="71" t="inlineStr">
        <is>
          <t>8 premier hrs</t>
        </is>
      </c>
      <c r="C38" s="108" t="n"/>
      <c r="D38" s="72">
        <f>+D30</f>
        <v/>
      </c>
      <c r="E38" s="72">
        <f>IF(C38&gt;8,8,C38)</f>
        <v/>
      </c>
      <c r="F38" s="72" t="n">
        <v>1.3</v>
      </c>
      <c r="G38" s="113">
        <f>+E38*$E$13*F38</f>
        <v/>
      </c>
      <c r="H38" s="74" t="n"/>
      <c r="I38" s="75" t="n"/>
      <c r="J38" s="75" t="n"/>
    </row>
    <row r="39">
      <c r="A39" s="111" t="n"/>
      <c r="B39" s="71" t="inlineStr">
        <is>
          <t>12 hrs restant</t>
        </is>
      </c>
      <c r="C39" s="114" t="n"/>
      <c r="D39" s="72" t="n"/>
      <c r="E39" s="72">
        <f>IF(C38-E38&gt;12,12,C38-E38)</f>
        <v/>
      </c>
      <c r="F39" s="72" t="n">
        <v>1.5</v>
      </c>
      <c r="G39" s="113">
        <f>+E39*$E$13*F39</f>
        <v/>
      </c>
      <c r="H39" s="74" t="n"/>
      <c r="I39" s="75" t="n"/>
      <c r="J39" s="75" t="n"/>
    </row>
    <row r="40">
      <c r="A40" s="111" t="n"/>
      <c r="B40" s="71" t="inlineStr">
        <is>
          <t>week-end</t>
        </is>
      </c>
      <c r="C40" s="72" t="n"/>
      <c r="D40" s="72" t="n"/>
      <c r="E40" s="72">
        <f>+C40</f>
        <v/>
      </c>
      <c r="F40" s="72" t="n">
        <v>1.4</v>
      </c>
      <c r="G40" s="113">
        <f>+E40*$E$13*F40</f>
        <v/>
      </c>
      <c r="H40" s="74" t="n"/>
      <c r="I40" s="75" t="n"/>
      <c r="J40" s="75" t="n"/>
    </row>
    <row r="41">
      <c r="A41" s="111" t="n"/>
      <c r="B41" s="76" t="inlineStr">
        <is>
          <t>Fér</t>
        </is>
      </c>
      <c r="C41" s="72" t="n"/>
      <c r="D41" s="72" t="n"/>
      <c r="E41" s="72">
        <f>+C41</f>
        <v/>
      </c>
      <c r="F41" s="72">
        <f>200/100</f>
        <v/>
      </c>
      <c r="G41" s="113">
        <f>+E41*$E$13*F41</f>
        <v/>
      </c>
      <c r="H41" s="74" t="n"/>
      <c r="I41" s="75" t="n"/>
      <c r="J41" s="75" t="n"/>
    </row>
    <row r="42">
      <c r="A42" s="111" t="n"/>
      <c r="B42" s="72" t="n"/>
      <c r="C42" s="72" t="n"/>
      <c r="D42" s="72" t="n"/>
      <c r="E42" s="71" t="inlineStr">
        <is>
          <t>TOTAL HS</t>
        </is>
      </c>
      <c r="F42" s="71">
        <f>SUM(E38:E41)</f>
        <v/>
      </c>
      <c r="G42" s="115">
        <f>SUM(G38:G41)</f>
        <v/>
      </c>
      <c r="H42" s="74" t="n"/>
      <c r="I42" s="75" t="n"/>
      <c r="J42" s="75" t="n"/>
    </row>
    <row r="43">
      <c r="A43" s="116" t="n"/>
      <c r="B43" s="72" t="n"/>
      <c r="C43" s="72" t="n"/>
      <c r="D43" s="72" t="n"/>
      <c r="E43" s="72" t="n"/>
      <c r="F43" s="72" t="n"/>
      <c r="G43" s="78" t="n"/>
      <c r="H43" s="74" t="n"/>
      <c r="I43" s="75" t="n"/>
      <c r="J43" s="75" t="n"/>
    </row>
    <row r="44" ht="14.4" customHeight="1" thickBot="1">
      <c r="A44" s="79" t="inlineStr">
        <is>
          <t>RAMAHAY GILBERT</t>
        </is>
      </c>
      <c r="B44" s="80" t="n"/>
      <c r="C44" s="80" t="n"/>
      <c r="D44" s="80" t="n"/>
      <c r="E44" s="81" t="inlineStr">
        <is>
          <t xml:space="preserve">Total HS </t>
        </is>
      </c>
      <c r="F44" s="117">
        <f>F18+F26+F34+F42</f>
        <v/>
      </c>
      <c r="G44" s="118">
        <f>G18+G26+G34+G42</f>
        <v/>
      </c>
      <c r="H44" s="74" t="n"/>
      <c r="I44" s="75" t="n"/>
      <c r="J44" s="75" t="n"/>
    </row>
    <row r="45">
      <c r="A45" s="75" t="n"/>
      <c r="B45" s="75" t="n"/>
      <c r="C45" s="75" t="n"/>
      <c r="D45" s="75" t="n"/>
      <c r="E45" s="75" t="n"/>
      <c r="F45" s="75" t="n"/>
      <c r="G45" s="75" t="n"/>
      <c r="H45" s="75" t="n"/>
      <c r="I45" s="75" t="n"/>
      <c r="J45" s="75" t="n"/>
    </row>
    <row r="46">
      <c r="A46" s="75" t="n"/>
      <c r="B46" s="75" t="n"/>
      <c r="C46" s="75" t="n"/>
      <c r="D46" s="75" t="n"/>
      <c r="E46" s="75" t="n"/>
      <c r="F46" s="75" t="n"/>
      <c r="G46" s="75" t="n"/>
      <c r="H46" s="75" t="n"/>
      <c r="I46" s="75" t="n"/>
      <c r="J46" s="75" t="n"/>
    </row>
    <row r="47">
      <c r="A47" s="75" t="n"/>
      <c r="B47" s="75" t="n"/>
      <c r="C47" s="75" t="n"/>
      <c r="D47" s="75" t="n"/>
      <c r="E47" s="75" t="n"/>
      <c r="F47" s="75" t="n"/>
      <c r="G47" s="75" t="n"/>
      <c r="H47" s="75" t="n"/>
      <c r="I47" s="75" t="n"/>
      <c r="J47" s="75" t="n"/>
    </row>
  </sheetData>
  <mergeCells count="6">
    <mergeCell ref="C30:C31"/>
    <mergeCell ref="C38:C39"/>
    <mergeCell ref="A4:A43"/>
    <mergeCell ref="D4:E4"/>
    <mergeCell ref="C14:C15"/>
    <mergeCell ref="C22:C23"/>
  </mergeCells>
  <pageMargins left="0.15" right="0.14" top="0.984251969" bottom="0.984251969" header="0.4921259845" footer="0.4921259845"/>
  <pageSetup orientation="portrait" paperSize="9" scale="7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J12"/>
  <sheetViews>
    <sheetView showGridLines="0" showZeros="0" tabSelected="1" zoomScaleNormal="100" workbookViewId="0">
      <selection activeCell="A8" sqref="A8"/>
    </sheetView>
  </sheetViews>
  <sheetFormatPr baseColWidth="10" defaultColWidth="11.44140625" defaultRowHeight="24.9" customHeight="1"/>
  <cols>
    <col width="12.109375" customWidth="1" style="47" min="1" max="1"/>
    <col width="7" customWidth="1" style="47" min="2" max="2"/>
    <col width="10.33203125" customWidth="1" style="47" min="3" max="3"/>
    <col width="15.88671875" customWidth="1" style="47" min="4" max="4"/>
    <col width="33.44140625" bestFit="1" customWidth="1" style="47" min="5" max="5"/>
    <col width="11.33203125" customWidth="1" style="47" min="6" max="7"/>
    <col width="7.6640625" customWidth="1" style="47" min="8" max="8"/>
    <col width="28.109375" customWidth="1" style="47" min="9" max="9"/>
    <col width="14.5546875" customWidth="1" style="47" min="10" max="10"/>
    <col width="6.44140625" customWidth="1" style="47" min="11" max="11"/>
    <col width="14.5546875" customWidth="1" style="47" min="12" max="12"/>
    <col width="13" bestFit="1" customWidth="1" style="47" min="13" max="13"/>
    <col width="6.44140625" customWidth="1" style="47" min="14" max="15"/>
    <col width="12" bestFit="1" customWidth="1" style="47" min="16" max="16"/>
    <col width="14.5546875" customWidth="1" style="47" min="17" max="17"/>
    <col width="12" customWidth="1" style="47" min="18" max="18"/>
    <col width="13" customWidth="1" style="47" min="19" max="19"/>
    <col width="12" customWidth="1" style="47" min="20" max="20"/>
    <col width="13" bestFit="1" customWidth="1" style="47" min="21" max="21"/>
    <col width="14.5546875" customWidth="1" style="47" min="22" max="22"/>
    <col width="14.5546875" bestFit="1" customWidth="1" style="47" min="23" max="23"/>
    <col width="6.44140625" customWidth="1" style="119" min="24" max="24"/>
    <col width="6.44140625" customWidth="1" style="47" min="25" max="25"/>
    <col width="14.5546875" bestFit="1" customWidth="1" style="120" min="26" max="26"/>
    <col width="6.44140625" customWidth="1" style="120" min="27" max="27"/>
    <col width="14.5546875" customWidth="1" style="120" min="28" max="29"/>
    <col width="13" bestFit="1" customWidth="1" style="120" min="30" max="30"/>
    <col width="14.5546875" customWidth="1" style="51" min="31" max="31"/>
    <col width="13" customWidth="1" style="47" min="32" max="32"/>
    <col width="14.5546875" bestFit="1" customWidth="1" style="47" min="33" max="33"/>
    <col width="12.44140625" bestFit="1" customWidth="1" style="47" min="34" max="34"/>
    <col width="11.44140625" customWidth="1" style="47" min="35" max="35"/>
    <col width="12.44140625" bestFit="1" customWidth="1" style="47" min="36" max="36"/>
    <col width="11.44140625" customWidth="1" style="47" min="37" max="16384"/>
  </cols>
  <sheetData>
    <row r="1" ht="24.9" customHeight="1">
      <c r="E1" s="52">
        <f>+"ETAT DE PAIE "&amp;" "&amp;TEXT(A5,"mmmm aaaa")</f>
        <v/>
      </c>
    </row>
    <row r="4" ht="24.9" customFormat="1" customHeight="1" s="13">
      <c r="A4" s="1" t="inlineStr">
        <is>
          <t>DATE</t>
        </is>
      </c>
      <c r="B4" s="1" t="inlineStr">
        <is>
          <t>NBRE</t>
        </is>
      </c>
      <c r="C4" s="1" t="inlineStr">
        <is>
          <t>N°MATR</t>
        </is>
      </c>
      <c r="D4" s="1" t="inlineStr">
        <is>
          <t>N° CNAPS</t>
        </is>
      </c>
      <c r="E4" s="2" t="inlineStr">
        <is>
          <t>NOM et Prénoms</t>
        </is>
      </c>
      <c r="F4" s="3" t="inlineStr">
        <is>
          <t>Date
d'embauche</t>
        </is>
      </c>
      <c r="G4" s="3" t="inlineStr">
        <is>
          <t>ABSENCE   du mois</t>
        </is>
      </c>
      <c r="H4" s="4" t="inlineStr">
        <is>
          <t>CAT</t>
        </is>
      </c>
      <c r="I4" s="4" t="inlineStr">
        <is>
          <t>Fonction</t>
        </is>
      </c>
      <c r="J4" s="5" t="inlineStr">
        <is>
          <t>SALAIRE DE BASE</t>
        </is>
      </c>
      <c r="K4" s="4" t="inlineStr">
        <is>
          <t>RETENUES SUR ABSCENCES</t>
        </is>
      </c>
      <c r="L4" s="6" t="inlineStr">
        <is>
          <t>SALAIRE DE BASE DU MOIS</t>
        </is>
      </c>
      <c r="M4" s="4" t="inlineStr">
        <is>
          <t>INDEMNITE</t>
        </is>
      </c>
      <c r="N4" s="4" t="inlineStr">
        <is>
          <t>RAPPEL</t>
        </is>
      </c>
      <c r="O4" s="4" t="inlineStr">
        <is>
          <t>AUTRES</t>
        </is>
      </c>
      <c r="P4" s="7" t="inlineStr">
        <is>
          <t>HR SUP/MAJ</t>
        </is>
      </c>
      <c r="Q4" s="8" t="inlineStr">
        <is>
          <t>Salaire 
brut</t>
        </is>
      </c>
      <c r="R4" s="1" t="inlineStr">
        <is>
          <t>CNaPS 1%</t>
        </is>
      </c>
      <c r="S4" s="1" t="inlineStr">
        <is>
          <t>CNaPs 8%</t>
        </is>
      </c>
      <c r="T4" s="1" t="inlineStr">
        <is>
          <t>OSTIE 1%</t>
        </is>
      </c>
      <c r="U4" s="7" t="inlineStr">
        <is>
          <t>OSTIE 5%</t>
        </is>
      </c>
      <c r="V4" s="4" t="inlineStr">
        <is>
          <t>Revenu
Imposable</t>
        </is>
      </c>
      <c r="W4" s="4" t="inlineStr">
        <is>
          <t>Impôt 
dû</t>
        </is>
      </c>
      <c r="X4" s="121" t="inlineStr">
        <is>
          <t>ENFANT A CHARGE</t>
        </is>
      </c>
      <c r="Y4" s="8" t="inlineStr">
        <is>
          <t>Montant</t>
        </is>
      </c>
      <c r="Z4" s="122" t="inlineStr">
        <is>
          <t>IGR NET</t>
        </is>
      </c>
      <c r="AA4" s="123" t="inlineStr">
        <is>
          <t>AUTRES RETENUES</t>
        </is>
      </c>
      <c r="AB4" s="123" t="inlineStr">
        <is>
          <t>TOTAL RETENUES</t>
        </is>
      </c>
      <c r="AC4" s="123" t="inlineStr">
        <is>
          <t>SALAIRE NET</t>
        </is>
      </c>
      <c r="AD4" s="123" t="inlineStr">
        <is>
          <t>AVANCE</t>
        </is>
      </c>
      <c r="AE4" s="123" t="inlineStr">
        <is>
          <t>NET A PAYER</t>
        </is>
      </c>
      <c r="AF4" s="123" t="inlineStr">
        <is>
          <t>AUTRES INDEMNITE</t>
        </is>
      </c>
      <c r="AG4" s="12" t="inlineStr">
        <is>
          <t>NET DU MOIS</t>
        </is>
      </c>
    </row>
    <row r="5" ht="24.9" customFormat="1" customHeight="1" s="13">
      <c r="A5" s="14">
        <f>+TODAY()</f>
        <v/>
      </c>
      <c r="B5" s="15">
        <f>+IF(E5&lt;&gt;"",1,0)</f>
        <v/>
      </c>
      <c r="C5" s="15" t="inlineStr">
        <is>
          <t>002</t>
        </is>
      </c>
      <c r="D5" s="16" t="inlineStr">
        <is>
          <t>710.922.846.807</t>
        </is>
      </c>
      <c r="E5" s="17" t="inlineStr">
        <is>
          <t>RAZAFY ALBERT</t>
        </is>
      </c>
      <c r="F5" s="18" t="n">
        <v>41640</v>
      </c>
      <c r="G5" s="21" t="n"/>
      <c r="H5" s="20" t="inlineStr">
        <is>
          <t>5B</t>
        </is>
      </c>
      <c r="I5" s="21" t="inlineStr">
        <is>
          <t>Assistant Administratif et Commercial</t>
        </is>
      </c>
      <c r="J5" s="124" t="n">
        <v>3000000</v>
      </c>
      <c r="K5" s="124">
        <f>+IF(G5=0,0,J5*G5/30)</f>
        <v/>
      </c>
      <c r="L5" s="124">
        <f>+J5-K5</f>
        <v/>
      </c>
      <c r="M5" s="124" t="n"/>
      <c r="N5" s="124" t="n"/>
      <c r="O5" s="124" t="n"/>
      <c r="P5" s="125" t="n"/>
      <c r="Q5" s="124">
        <f>L5+P5+M5+N5+O5</f>
        <v/>
      </c>
      <c r="R5" s="126">
        <f>IF((Q5)*1%&gt;10080,10080,((Q5)*1%))</f>
        <v/>
      </c>
      <c r="S5" s="126">
        <f>+R5*8</f>
        <v/>
      </c>
      <c r="T5" s="127">
        <f>+Q5*1%</f>
        <v/>
      </c>
      <c r="U5" s="127">
        <f>+T5*5</f>
        <v/>
      </c>
      <c r="V5" s="127">
        <f>+Q5-R5-T5</f>
        <v/>
      </c>
      <c r="W5" s="124" t="n"/>
      <c r="X5" s="128" t="n"/>
      <c r="Y5" s="127">
        <f>+X5*2000</f>
        <v/>
      </c>
      <c r="Z5" s="129">
        <f>+W5-Y5</f>
        <v/>
      </c>
      <c r="AA5" s="129" t="n"/>
      <c r="AB5" s="129">
        <f>+R5+T5+Z5+AA5</f>
        <v/>
      </c>
      <c r="AC5" s="129">
        <f>+Q5-AB5</f>
        <v/>
      </c>
      <c r="AD5" s="129" t="n">
        <v>100000</v>
      </c>
      <c r="AE5" s="129">
        <f>+AC5-AD5</f>
        <v/>
      </c>
      <c r="AF5" s="130" t="n"/>
      <c r="AG5" s="131">
        <f>+AE5+AF5</f>
        <v/>
      </c>
      <c r="AH5" s="132" t="n"/>
      <c r="AJ5" s="132" t="n"/>
    </row>
    <row r="6" ht="24.9" customFormat="1" customHeight="1" s="45">
      <c r="A6" s="14">
        <f>+TODAY()</f>
        <v/>
      </c>
      <c r="B6" s="31">
        <f>+IF(E6&lt;&gt;"",1,0)</f>
        <v/>
      </c>
      <c r="C6" s="31" t="inlineStr">
        <is>
          <t>003</t>
        </is>
      </c>
      <c r="D6" s="32" t="inlineStr">
        <is>
          <t>730.727.004.484</t>
        </is>
      </c>
      <c r="E6" s="33" t="inlineStr">
        <is>
          <t>RAMAHAY GILBERT</t>
        </is>
      </c>
      <c r="F6" s="34" t="n">
        <v>41699</v>
      </c>
      <c r="G6" s="35" t="n"/>
      <c r="H6" s="36" t="inlineStr">
        <is>
          <t>4A</t>
        </is>
      </c>
      <c r="I6" s="37" t="inlineStr">
        <is>
          <t>Coursier Magasinier</t>
        </is>
      </c>
      <c r="J6" s="133" t="n">
        <v>250000</v>
      </c>
      <c r="K6" s="133">
        <f>+IF(G6=0,0,G6*'[1]calcul hs'!$D$14)</f>
        <v/>
      </c>
      <c r="L6" s="133">
        <f>+J6-K6</f>
        <v/>
      </c>
      <c r="M6" s="133" t="n"/>
      <c r="N6" s="133" t="n"/>
      <c r="O6" s="133" t="n"/>
      <c r="P6" s="134">
        <f>+VLOOKUP(E6,'calcul hs'!$A:$G,7,FALSE)</f>
        <v/>
      </c>
      <c r="Q6" s="124">
        <f>L6+P6+M6+N6+O6</f>
        <v/>
      </c>
      <c r="R6" s="126">
        <f>IF((Q6)*1%&gt;10080,10080,((Q6)*1%))</f>
        <v/>
      </c>
      <c r="S6" s="135">
        <f>+R6*8</f>
        <v/>
      </c>
      <c r="T6" s="136">
        <f>+Q6*1%</f>
        <v/>
      </c>
      <c r="U6" s="136">
        <f>+T6*5</f>
        <v/>
      </c>
      <c r="V6" s="127">
        <f>+Q6-R6-T6</f>
        <v/>
      </c>
      <c r="W6" s="124" t="n"/>
      <c r="X6" s="137" t="n"/>
      <c r="Y6" s="127">
        <f>+X6*2000</f>
        <v/>
      </c>
      <c r="Z6" s="129">
        <f>+W6-Y6</f>
        <v/>
      </c>
      <c r="AA6" s="138" t="n"/>
      <c r="AB6" s="138">
        <f>+R6+T6+Z6+AA6</f>
        <v/>
      </c>
      <c r="AC6" s="138">
        <f>+Q6-AB6</f>
        <v/>
      </c>
      <c r="AD6" s="138" t="n">
        <v>40000</v>
      </c>
      <c r="AE6" s="138">
        <f>+AC6-AD6</f>
        <v/>
      </c>
      <c r="AF6" s="139" t="n"/>
      <c r="AG6" s="131">
        <f>+AE6+AF6</f>
        <v/>
      </c>
    </row>
    <row r="7" ht="24.9" customFormat="1" customHeight="1" s="45">
      <c r="A7" s="84">
        <f>+TODAY()</f>
        <v/>
      </c>
      <c r="B7" s="85">
        <f>+IF(E7&lt;&gt;"",1,0)</f>
        <v/>
      </c>
      <c r="C7" s="85" t="inlineStr">
        <is>
          <t>004</t>
        </is>
      </c>
      <c r="D7" s="86" t="inlineStr">
        <is>
          <t>770.618.002.688</t>
        </is>
      </c>
      <c r="E7" s="87" t="inlineStr">
        <is>
          <t>MANDRESY ALEXANDRE</t>
        </is>
      </c>
      <c r="F7" s="88" t="n">
        <v>38687</v>
      </c>
      <c r="G7" s="91" t="n"/>
      <c r="H7" s="90" t="inlineStr">
        <is>
          <t>HC</t>
        </is>
      </c>
      <c r="I7" s="91" t="inlineStr">
        <is>
          <t>Responsable Administratif et Financier</t>
        </is>
      </c>
      <c r="J7" s="140" t="n">
        <v>300000</v>
      </c>
      <c r="K7" s="140">
        <f>+IF(G7=0,0,J7*G7/30)</f>
        <v/>
      </c>
      <c r="L7" s="140">
        <f>+J7-K7</f>
        <v/>
      </c>
      <c r="M7" s="140" t="n"/>
      <c r="N7" s="140" t="n"/>
      <c r="O7" s="140" t="n"/>
      <c r="P7" s="141" t="n"/>
      <c r="Q7" s="142">
        <f>L7+P7+M7+N7+O7</f>
        <v/>
      </c>
      <c r="R7" s="126">
        <f>IF((Q7)*1%&gt;10080,10080,((Q7)*1%))</f>
        <v/>
      </c>
      <c r="S7" s="143">
        <f>+R7*8</f>
        <v/>
      </c>
      <c r="T7" s="144">
        <f>+Q7*1%</f>
        <v/>
      </c>
      <c r="U7" s="144">
        <f>+T7*5</f>
        <v/>
      </c>
      <c r="V7" s="145">
        <f>+Q7-R7-T7</f>
        <v/>
      </c>
      <c r="W7" s="142" t="n"/>
      <c r="X7" s="146" t="n"/>
      <c r="Y7" s="145">
        <f>+X7*2000</f>
        <v/>
      </c>
      <c r="Z7" s="147">
        <f>+W7-Y7</f>
        <v/>
      </c>
      <c r="AA7" s="148" t="n"/>
      <c r="AB7" s="148">
        <f>+R7+T7+Z7+AA7</f>
        <v/>
      </c>
      <c r="AC7" s="148">
        <f>+Q7-AB7</f>
        <v/>
      </c>
      <c r="AD7" s="148" t="n"/>
      <c r="AE7" s="148">
        <f>+AC7-AD7</f>
        <v/>
      </c>
      <c r="AF7" s="149" t="n"/>
      <c r="AG7" s="150">
        <f>+AE7+AF7</f>
        <v/>
      </c>
      <c r="AH7" s="132" t="n"/>
      <c r="AI7" s="151" t="n"/>
      <c r="AJ7" s="132" t="n"/>
    </row>
    <row r="8" ht="24.9" customHeight="1">
      <c r="A8" s="103" t="n"/>
      <c r="B8" s="103" t="n"/>
      <c r="C8" s="103" t="n"/>
      <c r="D8" s="103" t="n"/>
      <c r="E8" s="103" t="n"/>
      <c r="F8" s="103" t="n"/>
      <c r="G8" s="103" t="n"/>
      <c r="H8" s="103" t="n"/>
      <c r="I8" s="103" t="n"/>
      <c r="J8" s="152">
        <f>SUM(J5:J7)</f>
        <v/>
      </c>
      <c r="K8" s="152">
        <f>SUM(K5:K7)</f>
        <v/>
      </c>
      <c r="L8" s="152">
        <f>SUM(L5:L7)</f>
        <v/>
      </c>
      <c r="M8" s="152">
        <f>SUM(M5:M7)</f>
        <v/>
      </c>
      <c r="N8" s="152">
        <f>SUM(N5:N7)</f>
        <v/>
      </c>
      <c r="O8" s="152">
        <f>SUM(O5:O7)</f>
        <v/>
      </c>
      <c r="P8" s="152">
        <f>SUM(P5:P7)</f>
        <v/>
      </c>
      <c r="Q8" s="152">
        <f>SUM(Q5:Q7)</f>
        <v/>
      </c>
      <c r="R8" s="152">
        <f>SUM(R5:R7)</f>
        <v/>
      </c>
      <c r="S8" s="152">
        <f>SUM(S5:S7)</f>
        <v/>
      </c>
      <c r="T8" s="152">
        <f>SUM(T5:T7)</f>
        <v/>
      </c>
      <c r="U8" s="152">
        <f>SUM(U5:U7)</f>
        <v/>
      </c>
      <c r="V8" s="152">
        <f>SUM(V5:V7)</f>
        <v/>
      </c>
      <c r="W8" s="152">
        <f>SUM(W5:W7)</f>
        <v/>
      </c>
      <c r="X8" s="152">
        <f>SUM(X5:X7)</f>
        <v/>
      </c>
      <c r="Y8" s="152">
        <f>SUM(Y5:Y7)</f>
        <v/>
      </c>
      <c r="Z8" s="152">
        <f>SUM(Z5:Z7)</f>
        <v/>
      </c>
      <c r="AA8" s="152">
        <f>SUM(AA5:AA7)</f>
        <v/>
      </c>
      <c r="AB8" s="152">
        <f>SUM(AB5:AB7)</f>
        <v/>
      </c>
      <c r="AC8" s="152">
        <f>SUM(AC5:AC7)</f>
        <v/>
      </c>
      <c r="AD8" s="152">
        <f>SUM(AD5:AD7)</f>
        <v/>
      </c>
      <c r="AE8" s="152">
        <f>SUM(AE5:AE7)</f>
        <v/>
      </c>
      <c r="AF8" s="152">
        <f>SUM(AF5:AF7)</f>
        <v/>
      </c>
      <c r="AG8" s="152">
        <f>SUM(AG5:AG7)</f>
        <v/>
      </c>
    </row>
    <row r="12" ht="24.9" customHeight="1">
      <c r="AB12" s="1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A5B"/>
  <printOptions horizontalCentered="1"/>
  <pageMargins left="0.1968503937007874" right="0.1574803149606299" top="0.984251968503937" bottom="0.984251968503937" header="0.5118110236220472" footer="0.5118110236220472"/>
  <pageSetup orientation="landscape" paperSize="9" scale="33" fitToHeight="500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Month</t>
        </is>
      </c>
      <c r="E1" t="inlineStr">
        <is>
          <t>Year</t>
        </is>
      </c>
      <c r="F1" t="inlineStr">
        <is>
          <t>Gross</t>
        </is>
      </c>
      <c r="G1" t="inlineStr">
        <is>
          <t>Net</t>
        </is>
      </c>
      <c r="H1" t="inlineStr">
        <is>
          <t>Created At</t>
        </is>
      </c>
    </row>
    <row r="2">
      <c r="A2" t="inlineStr">
        <is>
          <t>02</t>
        </is>
      </c>
      <c r="B2" t="inlineStr">
        <is>
          <t>fitahiana</t>
        </is>
      </c>
      <c r="C2" t="inlineStr">
        <is>
          <t>mahery</t>
        </is>
      </c>
      <c r="D2" t="n">
        <v>1</v>
      </c>
      <c r="E2" t="n">
        <v>2025</v>
      </c>
      <c r="F2" t="n">
        <v>350000</v>
      </c>
      <c r="G2" t="n">
        <v>350000</v>
      </c>
      <c r="H2" t="inlineStr">
        <is>
          <t>2025-11-10T10:50:07.365399+00:00</t>
        </is>
      </c>
    </row>
    <row r="3">
      <c r="A3" t="inlineStr">
        <is>
          <t>02</t>
        </is>
      </c>
      <c r="B3" t="inlineStr">
        <is>
          <t>fitahiana</t>
        </is>
      </c>
      <c r="C3" t="inlineStr">
        <is>
          <t>mahery</t>
        </is>
      </c>
      <c r="D3" t="n">
        <v>2</v>
      </c>
      <c r="E3" t="n">
        <v>2025</v>
      </c>
      <c r="F3" t="n">
        <v>120000</v>
      </c>
      <c r="G3" t="n">
        <v>114000</v>
      </c>
      <c r="H3" t="inlineStr">
        <is>
          <t>2025-11-15T19:07:05.127601+00:00</t>
        </is>
      </c>
    </row>
    <row r="4">
      <c r="A4" t="inlineStr">
        <is>
          <t>02</t>
        </is>
      </c>
      <c r="B4" t="inlineStr">
        <is>
          <t>fitahiana</t>
        </is>
      </c>
      <c r="C4" t="inlineStr">
        <is>
          <t>mahery</t>
        </is>
      </c>
      <c r="D4" t="n">
        <v>3</v>
      </c>
      <c r="E4" t="n">
        <v>2025</v>
      </c>
      <c r="F4" t="n">
        <v>120000</v>
      </c>
      <c r="G4" t="n">
        <v>114000</v>
      </c>
      <c r="H4" t="inlineStr">
        <is>
          <t>2025-11-15T18:27:04.539302+00:00</t>
        </is>
      </c>
    </row>
    <row r="5">
      <c r="A5" t="inlineStr">
        <is>
          <t>01</t>
        </is>
      </c>
      <c r="B5" t="inlineStr">
        <is>
          <t>ma</t>
        </is>
      </c>
      <c r="C5" t="inlineStr">
        <is>
          <t>andria</t>
        </is>
      </c>
      <c r="D5" t="n">
        <v>4</v>
      </c>
      <c r="E5" t="n">
        <v>2025</v>
      </c>
      <c r="F5" t="n">
        <v>40000</v>
      </c>
      <c r="G5" t="n">
        <v>38000</v>
      </c>
      <c r="H5" t="inlineStr">
        <is>
          <t>2025-11-10T12:13:56.192873+00:00</t>
        </is>
      </c>
    </row>
    <row r="6">
      <c r="A6" t="inlineStr">
        <is>
          <t>06</t>
        </is>
      </c>
      <c r="B6" t="inlineStr">
        <is>
          <t>arisoa</t>
        </is>
      </c>
      <c r="C6" t="inlineStr">
        <is>
          <t>rakoto</t>
        </is>
      </c>
      <c r="D6" t="n">
        <v>8</v>
      </c>
      <c r="E6" t="n">
        <v>2025</v>
      </c>
      <c r="F6" t="n">
        <v>1000000</v>
      </c>
      <c r="G6" t="n">
        <v>950000</v>
      </c>
      <c r="H6" t="inlineStr">
        <is>
          <t>2025-11-17T10:04:01.388773+00:00</t>
        </is>
      </c>
    </row>
    <row r="7">
      <c r="A7" t="inlineStr">
        <is>
          <t>05</t>
        </is>
      </c>
      <c r="B7" t="inlineStr">
        <is>
          <t>miora</t>
        </is>
      </c>
      <c r="C7" t="inlineStr">
        <is>
          <t>fitia</t>
        </is>
      </c>
      <c r="D7" t="n">
        <v>11</v>
      </c>
      <c r="E7" t="n">
        <v>2025</v>
      </c>
      <c r="F7" t="n">
        <v>1000000</v>
      </c>
      <c r="G7" t="n">
        <v>950000</v>
      </c>
      <c r="H7" t="inlineStr">
        <is>
          <t>2025-11-16T17:25:20.489336+00:00</t>
        </is>
      </c>
    </row>
    <row r="8">
      <c r="A8" t="inlineStr">
        <is>
          <t>04</t>
        </is>
      </c>
      <c r="B8" t="inlineStr">
        <is>
          <t>lisa</t>
        </is>
      </c>
      <c r="C8" t="inlineStr">
        <is>
          <t>carl</t>
        </is>
      </c>
      <c r="D8" t="n">
        <v>11</v>
      </c>
      <c r="E8" t="n">
        <v>2025</v>
      </c>
      <c r="F8" t="n">
        <v>7000</v>
      </c>
      <c r="G8" t="n">
        <v>6111.54</v>
      </c>
      <c r="H8" t="inlineStr">
        <is>
          <t>2025-11-16T11:09:19.852531+00:00</t>
        </is>
      </c>
    </row>
    <row r="9">
      <c r="A9" t="inlineStr">
        <is>
          <t>06</t>
        </is>
      </c>
      <c r="B9" t="inlineStr">
        <is>
          <t>arisoa</t>
        </is>
      </c>
      <c r="C9" t="inlineStr">
        <is>
          <t>rakoto</t>
        </is>
      </c>
      <c r="D9" t="n">
        <v>12</v>
      </c>
      <c r="E9" t="n">
        <v>2025</v>
      </c>
      <c r="F9" t="n">
        <v>1000000</v>
      </c>
      <c r="G9" t="n">
        <v>950000</v>
      </c>
      <c r="H9" t="inlineStr">
        <is>
          <t>2025-11-17T08:46:29.668431+00:00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Type</t>
        </is>
      </c>
      <c r="E1" t="inlineStr">
        <is>
          <t>Start</t>
        </is>
      </c>
      <c r="F1" t="inlineStr">
        <is>
          <t>End</t>
        </is>
      </c>
      <c r="G1" t="inlineStr">
        <is>
          <t>Days</t>
        </is>
      </c>
      <c r="H1" t="inlineStr">
        <is>
          <t>Status</t>
        </is>
      </c>
      <c r="I1" t="inlineStr">
        <is>
          <t>Note</t>
        </is>
      </c>
    </row>
    <row r="2">
      <c r="A2" t="inlineStr">
        <is>
          <t>01</t>
        </is>
      </c>
      <c r="B2" t="inlineStr">
        <is>
          <t>ma</t>
        </is>
      </c>
      <c r="C2" t="inlineStr">
        <is>
          <t>andria</t>
        </is>
      </c>
      <c r="D2" t="inlineStr">
        <is>
          <t>PAID</t>
        </is>
      </c>
      <c r="E2" t="inlineStr">
        <is>
          <t>2025-12-27</t>
        </is>
      </c>
      <c r="F2" t="inlineStr">
        <is>
          <t>2026-01-27</t>
        </is>
      </c>
      <c r="G2" t="n">
        <v>32</v>
      </c>
      <c r="H2" t="inlineStr">
        <is>
          <t>PENDING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Tovohery</dc:creator>
  <dcterms:created xsi:type="dcterms:W3CDTF">2014-07-07T05:19:29Z</dcterms:created>
  <dcterms:modified xsi:type="dcterms:W3CDTF">2025-11-27T19:19:15Z</dcterms:modified>
  <cp:lastModifiedBy>ME-PC</cp:lastModifiedBy>
</cp:coreProperties>
</file>