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OVO\Cours Gestion\RH\"/>
    </mc:Choice>
  </mc:AlternateContent>
  <bookViews>
    <workbookView xWindow="600" yWindow="96" windowWidth="14112" windowHeight="4932" activeTab="1"/>
  </bookViews>
  <sheets>
    <sheet name="calcul hs" sheetId="2" r:id="rId1"/>
    <sheet name="ETAT DE PAIE" sheetId="1" r:id="rId2"/>
  </sheets>
  <externalReferences>
    <externalReference r:id="rId3"/>
  </externalReferences>
  <definedNames>
    <definedName name="_xlnm._FilterDatabase" localSheetId="1" hidden="1">'ETAT DE PAIE'!$B$4:$AE$7</definedName>
    <definedName name="_xlnm.Print_Area" localSheetId="0">'calcul hs'!$1:$44</definedName>
    <definedName name="_xlnm.Print_Area" localSheetId="1">'ETAT DE PAIE'!$B$4:$AG$7</definedName>
  </definedNames>
  <calcPr calcId="162913"/>
</workbook>
</file>

<file path=xl/calcChain.xml><?xml version="1.0" encoding="utf-8"?>
<calcChain xmlns="http://schemas.openxmlformats.org/spreadsheetml/2006/main">
  <c r="D14" i="2" l="1"/>
  <c r="E13" i="2"/>
  <c r="F41" i="2"/>
  <c r="E41" i="2"/>
  <c r="E40" i="2"/>
  <c r="E38" i="2"/>
  <c r="E39" i="2" s="1"/>
  <c r="F33" i="2"/>
  <c r="E33" i="2"/>
  <c r="E32" i="2"/>
  <c r="E30" i="2"/>
  <c r="E31" i="2" s="1"/>
  <c r="F25" i="2"/>
  <c r="E25" i="2"/>
  <c r="G25" i="2" s="1"/>
  <c r="E24" i="2"/>
  <c r="E22" i="2"/>
  <c r="E23" i="2" s="1"/>
  <c r="F17" i="2"/>
  <c r="E17" i="2"/>
  <c r="E16" i="2"/>
  <c r="E14" i="2"/>
  <c r="G14" i="2" s="1"/>
  <c r="G33" i="2"/>
  <c r="G2" i="2"/>
  <c r="A2" i="2"/>
  <c r="AF8" i="1"/>
  <c r="AD8" i="1"/>
  <c r="AA8" i="1"/>
  <c r="X8" i="1"/>
  <c r="O8" i="1"/>
  <c r="N8" i="1"/>
  <c r="M8" i="1"/>
  <c r="J8" i="1"/>
  <c r="Y7" i="1"/>
  <c r="K7" i="1"/>
  <c r="L7" i="1" s="1"/>
  <c r="Q7" i="1" s="1"/>
  <c r="R7" i="1" s="1"/>
  <c r="B7" i="1"/>
  <c r="A7" i="1"/>
  <c r="Y6" i="1"/>
  <c r="K6" i="1"/>
  <c r="L6" i="1" s="1"/>
  <c r="B6" i="1"/>
  <c r="A6" i="1"/>
  <c r="Y5" i="1"/>
  <c r="Z5" i="1" s="1"/>
  <c r="K5" i="1"/>
  <c r="L5" i="1" s="1"/>
  <c r="Q5" i="1" s="1"/>
  <c r="B5" i="1"/>
  <c r="A5" i="1"/>
  <c r="E1" i="1" s="1"/>
  <c r="D22" i="2"/>
  <c r="D30" i="2" s="1"/>
  <c r="D38" i="2" s="1"/>
  <c r="G22" i="2"/>
  <c r="G16" i="2"/>
  <c r="G32" i="2"/>
  <c r="E20" i="2"/>
  <c r="E28" i="2" s="1"/>
  <c r="E21" i="2"/>
  <c r="Z7" i="1"/>
  <c r="G17" i="2"/>
  <c r="G40" i="2"/>
  <c r="G24" i="2"/>
  <c r="G38" i="2"/>
  <c r="G41" i="2"/>
  <c r="Z6" i="1"/>
  <c r="W8" i="1"/>
  <c r="G30" i="2" l="1"/>
  <c r="E15" i="2"/>
  <c r="Z8" i="1"/>
  <c r="E36" i="2"/>
  <c r="E37" i="2" s="1"/>
  <c r="E29" i="2"/>
  <c r="L8" i="1"/>
  <c r="V7" i="1"/>
  <c r="S7" i="1"/>
  <c r="F26" i="2"/>
  <c r="G23" i="2"/>
  <c r="G26" i="2" s="1"/>
  <c r="F34" i="2"/>
  <c r="G31" i="2"/>
  <c r="G34" i="2" s="1"/>
  <c r="F42" i="2"/>
  <c r="G39" i="2"/>
  <c r="G42" i="2" s="1"/>
  <c r="T5" i="1"/>
  <c r="R5" i="1"/>
  <c r="K8" i="1"/>
  <c r="T7" i="1"/>
  <c r="U7" i="1" s="1"/>
  <c r="Y8" i="1"/>
  <c r="F18" i="2" l="1"/>
  <c r="F44" i="2" s="1"/>
  <c r="G15" i="2"/>
  <c r="G18" i="2" s="1"/>
  <c r="G44" i="2" s="1"/>
  <c r="P6" i="1" s="1"/>
  <c r="S5" i="1"/>
  <c r="AB5" i="1"/>
  <c r="U5" i="1"/>
  <c r="V5" i="1"/>
  <c r="AB7" i="1"/>
  <c r="AC7" i="1" s="1"/>
  <c r="AE7" i="1" s="1"/>
  <c r="AG7" i="1" s="1"/>
  <c r="P8" i="1" l="1"/>
  <c r="Q6" i="1"/>
  <c r="R6" i="1" s="1"/>
  <c r="AC5" i="1"/>
  <c r="T6" i="1" l="1"/>
  <c r="AB6" i="1" s="1"/>
  <c r="Q8" i="1"/>
  <c r="S6" i="1"/>
  <c r="S8" i="1" s="1"/>
  <c r="R8" i="1"/>
  <c r="U6" i="1"/>
  <c r="U8" i="1" s="1"/>
  <c r="AE5" i="1"/>
  <c r="V6" i="1"/>
  <c r="V8" i="1" s="1"/>
  <c r="T8" i="1" l="1"/>
  <c r="AG5" i="1"/>
  <c r="AC6" i="1"/>
  <c r="AB8" i="1"/>
  <c r="AE6" i="1" l="1"/>
  <c r="AC8" i="1"/>
  <c r="AG6" i="1" l="1"/>
  <c r="AG8" i="1" s="1"/>
  <c r="AE8" i="1"/>
</calcChain>
</file>

<file path=xl/sharedStrings.xml><?xml version="1.0" encoding="utf-8"?>
<sst xmlns="http://schemas.openxmlformats.org/spreadsheetml/2006/main" count="102" uniqueCount="77">
  <si>
    <t>DATE</t>
  </si>
  <si>
    <t>NBRE</t>
  </si>
  <si>
    <t>N°MATR</t>
  </si>
  <si>
    <t>N° CNAPS</t>
  </si>
  <si>
    <t>NOM et Prénoms</t>
  </si>
  <si>
    <t>Date
d'embauche</t>
  </si>
  <si>
    <t>ABSENCE   du mois</t>
  </si>
  <si>
    <t>CAT</t>
  </si>
  <si>
    <t>Fonction</t>
  </si>
  <si>
    <t>SALAIRE DE BASE</t>
  </si>
  <si>
    <t>RETENUES SUR ABSCENCES</t>
  </si>
  <si>
    <t>SALAIRE DE BASE DU MOIS</t>
  </si>
  <si>
    <t>INDEMNITE</t>
  </si>
  <si>
    <t>RAPPEL</t>
  </si>
  <si>
    <t>AUTRES</t>
  </si>
  <si>
    <t>HR SUP/MAJ</t>
  </si>
  <si>
    <t>Salaire 
brut</t>
  </si>
  <si>
    <t>CNaPS 1%</t>
  </si>
  <si>
    <t>CNaPs 8%</t>
  </si>
  <si>
    <t>Revenu
Imposable</t>
  </si>
  <si>
    <t>Impôt 
dû</t>
  </si>
  <si>
    <t>ENFANT A CHARGE</t>
  </si>
  <si>
    <t>Montant</t>
  </si>
  <si>
    <t>IGR NET</t>
  </si>
  <si>
    <t>AUTRES RETENUES</t>
  </si>
  <si>
    <t>TOTAL RETENUES</t>
  </si>
  <si>
    <t>SALAIRE NET</t>
  </si>
  <si>
    <t>AVANCE</t>
  </si>
  <si>
    <t>NET A PAYER</t>
  </si>
  <si>
    <t>AUTRES INDEMNITE</t>
  </si>
  <si>
    <t>NET DU MOIS</t>
  </si>
  <si>
    <t>002</t>
  </si>
  <si>
    <t>710.922.846.807</t>
  </si>
  <si>
    <t>HC</t>
  </si>
  <si>
    <t>Assistant Administratif et Commercial</t>
  </si>
  <si>
    <t>003</t>
  </si>
  <si>
    <t>730.727.004.484</t>
  </si>
  <si>
    <t>4A</t>
  </si>
  <si>
    <t>Coursier Magasinier</t>
  </si>
  <si>
    <t>004</t>
  </si>
  <si>
    <t>770.618.002.688</t>
  </si>
  <si>
    <t>Responsable Administratif et Financier</t>
  </si>
  <si>
    <t>RAZAFY ALBERT</t>
  </si>
  <si>
    <t>RAMAHAY GILBERT</t>
  </si>
  <si>
    <t>MANDRESY ALEXANDRE</t>
  </si>
  <si>
    <t>SIDEXAM SA</t>
  </si>
  <si>
    <t>PLAFONNEMENT CNAPS</t>
  </si>
  <si>
    <t>CALCUL HEURES SUPPLEMENTAIRE</t>
  </si>
  <si>
    <t>AGRI</t>
  </si>
  <si>
    <t>BAREME HS</t>
  </si>
  <si>
    <t>NON AGRI</t>
  </si>
  <si>
    <t>HEURES SUPPLEMENTAIRES</t>
  </si>
  <si>
    <t>HS &lt; 20 HRS PAR SEMAINE</t>
  </si>
  <si>
    <t>Heures</t>
  </si>
  <si>
    <t>8 PREMIER HR</t>
  </si>
  <si>
    <t>12 HRS RESTANT</t>
  </si>
  <si>
    <t>DIM</t>
  </si>
  <si>
    <t>FERIE</t>
  </si>
  <si>
    <t>HEURES</t>
  </si>
  <si>
    <t>TAUX</t>
  </si>
  <si>
    <t>MONTANT</t>
  </si>
  <si>
    <t>BASE</t>
  </si>
  <si>
    <t xml:space="preserve">HRS </t>
  </si>
  <si>
    <t>1semaine</t>
  </si>
  <si>
    <t>BASE / HRS</t>
  </si>
  <si>
    <t>8 premier hrs</t>
  </si>
  <si>
    <t>12 hrs restant</t>
  </si>
  <si>
    <t>week-end</t>
  </si>
  <si>
    <t>Fér</t>
  </si>
  <si>
    <t>TOTAL HS</t>
  </si>
  <si>
    <t>2 semaine</t>
  </si>
  <si>
    <t>3 semaine</t>
  </si>
  <si>
    <t>4 semaine</t>
  </si>
  <si>
    <t xml:space="preserve">Total HS </t>
  </si>
  <si>
    <t>OSTIE 5%</t>
  </si>
  <si>
    <t>OSTIE 1%</t>
  </si>
  <si>
    <t>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</si>
</sst>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&quot;  &quot;@"/>
    <numFmt numFmtId="165" formatCode="_-* #,##0.00\ _F_-;\-* #,##0.00\ _F_-;_-* &quot;-&quot;??\ _F_-;_-@_-"/>
    <numFmt numFmtId="166" formatCode="_-* #,##0\ _F_-;\-* #,##0\ _F_-;_-* &quot;-&quot;??\ _F_-;_-@_-"/>
    <numFmt numFmtId="167" formatCode="#,##0.00&quot;  &quot;"/>
    <numFmt numFmtId="168" formatCode="0\-&quot; heures&quot;"/>
    <numFmt numFmtId="169" formatCode="_-* #,##0.00\ [$€]_-;\-* #,##0.00\ [$€]_-;_-* &quot;-&quot;??\ [$€]_-;_-@_-"/>
  </numFmts>
  <fonts count="13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i/>
      <sz val="10"/>
      <name val="Book Antiqua"/>
      <family val="1"/>
    </font>
    <font>
      <b/>
      <sz val="8"/>
      <name val="Book Antiqua"/>
      <family val="1"/>
    </font>
    <font>
      <sz val="8"/>
      <name val="Book Antiqua"/>
      <family val="1"/>
    </font>
    <font>
      <b/>
      <i/>
      <sz val="8"/>
      <name val="Book Antiqua"/>
      <family val="1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/>
    <xf numFmtId="16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9" fontId="1" fillId="0" borderId="0" applyFont="0" applyFill="0" applyBorder="0" applyAlignment="0" applyProtection="0"/>
  </cellStyleXfs>
  <cellXfs count="109">
    <xf numFmtId="0" fontId="0" fillId="0" borderId="0" xfId="0"/>
    <xf numFmtId="0" fontId="2" fillId="0" borderId="1" xfId="0" applyFont="1" applyFill="1" applyBorder="1" applyAlignment="1" applyProtection="1">
      <alignment horizontal="center" vertical="center"/>
    </xf>
    <xf numFmtId="164" fontId="2" fillId="0" borderId="1" xfId="0" applyNumberFormat="1" applyFont="1" applyFill="1" applyBorder="1" applyAlignment="1" applyProtection="1">
      <alignment vertical="center"/>
    </xf>
    <xf numFmtId="164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 vertical="center" wrapText="1"/>
    </xf>
    <xf numFmtId="0" fontId="2" fillId="0" borderId="4" xfId="0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</xf>
    <xf numFmtId="166" fontId="2" fillId="0" borderId="1" xfId="2" applyNumberFormat="1" applyFont="1" applyFill="1" applyBorder="1" applyAlignment="1" applyProtection="1">
      <alignment horizontal="center" vertical="center" wrapText="1"/>
    </xf>
    <xf numFmtId="166" fontId="2" fillId="0" borderId="2" xfId="2" applyNumberFormat="1" applyFont="1" applyFill="1" applyBorder="1" applyAlignment="1" applyProtection="1">
      <alignment horizontal="center" vertical="center"/>
    </xf>
    <xf numFmtId="166" fontId="2" fillId="0" borderId="3" xfId="2" applyNumberFormat="1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vertical="center"/>
    </xf>
    <xf numFmtId="0" fontId="2" fillId="0" borderId="0" xfId="0" applyFont="1" applyFill="1" applyAlignment="1" applyProtection="1">
      <alignment vertical="center"/>
    </xf>
    <xf numFmtId="15" fontId="3" fillId="0" borderId="5" xfId="0" quotePrefix="1" applyNumberFormat="1" applyFont="1" applyFill="1" applyBorder="1" applyAlignment="1" applyProtection="1">
      <alignment vertical="center"/>
    </xf>
    <xf numFmtId="0" fontId="3" fillId="0" borderId="6" xfId="0" quotePrefix="1" applyFont="1" applyFill="1" applyBorder="1" applyAlignment="1" applyProtection="1">
      <alignment vertical="center"/>
    </xf>
    <xf numFmtId="0" fontId="3" fillId="0" borderId="7" xfId="0" quotePrefix="1" applyFont="1" applyFill="1" applyBorder="1" applyAlignment="1" applyProtection="1">
      <alignment vertical="center"/>
    </xf>
    <xf numFmtId="0" fontId="3" fillId="0" borderId="7" xfId="0" applyFont="1" applyFill="1" applyBorder="1" applyAlignment="1" applyProtection="1">
      <alignment vertical="center"/>
      <protection locked="0"/>
    </xf>
    <xf numFmtId="14" fontId="3" fillId="0" borderId="7" xfId="0" applyNumberFormat="1" applyFont="1" applyFill="1" applyBorder="1" applyAlignment="1" applyProtection="1">
      <alignment horizontal="center" vertical="center"/>
      <protection locked="0"/>
    </xf>
    <xf numFmtId="0" fontId="3" fillId="0" borderId="7" xfId="0" applyNumberFormat="1" applyFont="1" applyFill="1" applyBorder="1" applyAlignment="1" applyProtection="1">
      <alignment horizontal="center" vertical="center"/>
      <protection locked="0"/>
    </xf>
    <xf numFmtId="0" fontId="3" fillId="0" borderId="7" xfId="0" applyFont="1" applyFill="1" applyBorder="1" applyAlignment="1" applyProtection="1">
      <alignment horizontal="center" vertical="center" wrapText="1"/>
      <protection locked="0"/>
    </xf>
    <xf numFmtId="0" fontId="3" fillId="0" borderId="7" xfId="0" applyFont="1" applyFill="1" applyBorder="1" applyAlignment="1" applyProtection="1">
      <alignment horizontal="center" vertical="center"/>
      <protection locked="0"/>
    </xf>
    <xf numFmtId="167" fontId="3" fillId="0" borderId="7" xfId="0" applyNumberFormat="1" applyFont="1" applyFill="1" applyBorder="1" applyAlignment="1" applyProtection="1">
      <alignment vertical="center"/>
      <protection locked="0"/>
    </xf>
    <xf numFmtId="165" fontId="3" fillId="0" borderId="7" xfId="2" applyFont="1" applyFill="1" applyBorder="1" applyAlignment="1" applyProtection="1">
      <alignment vertical="center"/>
      <protection locked="0"/>
    </xf>
    <xf numFmtId="167" fontId="3" fillId="0" borderId="7" xfId="0" applyNumberFormat="1" applyFont="1" applyFill="1" applyBorder="1" applyAlignment="1" applyProtection="1">
      <alignment horizontal="right" vertical="center"/>
    </xf>
    <xf numFmtId="167" fontId="3" fillId="0" borderId="7" xfId="0" applyNumberFormat="1" applyFont="1" applyFill="1" applyBorder="1" applyAlignment="1" applyProtection="1">
      <alignment vertical="center"/>
    </xf>
    <xf numFmtId="166" fontId="3" fillId="0" borderId="7" xfId="2" applyNumberFormat="1" applyFont="1" applyFill="1" applyBorder="1" applyAlignment="1" applyProtection="1">
      <alignment vertical="center"/>
      <protection locked="0"/>
    </xf>
    <xf numFmtId="165" fontId="3" fillId="0" borderId="7" xfId="2" applyNumberFormat="1" applyFont="1" applyFill="1" applyBorder="1" applyAlignment="1" applyProtection="1">
      <alignment vertical="center"/>
    </xf>
    <xf numFmtId="165" fontId="3" fillId="0" borderId="8" xfId="2" applyNumberFormat="1" applyFont="1" applyFill="1" applyBorder="1" applyAlignment="1" applyProtection="1">
      <alignment vertical="center"/>
    </xf>
    <xf numFmtId="165" fontId="2" fillId="0" borderId="2" xfId="0" applyNumberFormat="1" applyFont="1" applyFill="1" applyBorder="1" applyAlignment="1" applyProtection="1">
      <alignment vertical="center"/>
    </xf>
    <xf numFmtId="165" fontId="2" fillId="0" borderId="0" xfId="2" applyFont="1" applyFill="1" applyAlignment="1" applyProtection="1">
      <alignment vertical="center"/>
    </xf>
    <xf numFmtId="0" fontId="3" fillId="0" borderId="9" xfId="0" quotePrefix="1" applyFont="1" applyFill="1" applyBorder="1" applyAlignment="1" applyProtection="1">
      <alignment vertical="center"/>
    </xf>
    <xf numFmtId="0" fontId="3" fillId="0" borderId="10" xfId="0" applyFont="1" applyFill="1" applyBorder="1" applyAlignment="1" applyProtection="1">
      <alignment vertical="center"/>
    </xf>
    <xf numFmtId="0" fontId="3" fillId="0" borderId="10" xfId="0" applyFont="1" applyFill="1" applyBorder="1" applyAlignment="1" applyProtection="1">
      <alignment vertical="center"/>
      <protection locked="0"/>
    </xf>
    <xf numFmtId="14" fontId="3" fillId="0" borderId="10" xfId="0" applyNumberFormat="1" applyFont="1" applyFill="1" applyBorder="1" applyAlignment="1" applyProtection="1">
      <alignment horizontal="center" vertical="center"/>
      <protection locked="0"/>
    </xf>
    <xf numFmtId="168" fontId="3" fillId="0" borderId="10" xfId="0" applyNumberFormat="1" applyFont="1" applyFill="1" applyBorder="1" applyAlignment="1" applyProtection="1">
      <alignment horizontal="center" vertical="center"/>
      <protection locked="0"/>
    </xf>
    <xf numFmtId="0" fontId="3" fillId="0" borderId="10" xfId="0" applyFont="1" applyFill="1" applyBorder="1" applyAlignment="1" applyProtection="1">
      <alignment horizontal="center" vertical="center" wrapText="1"/>
      <protection locked="0"/>
    </xf>
    <xf numFmtId="0" fontId="3" fillId="0" borderId="10" xfId="0" applyFont="1" applyFill="1" applyBorder="1" applyAlignment="1" applyProtection="1">
      <alignment horizontal="center" vertical="center"/>
      <protection locked="0"/>
    </xf>
    <xf numFmtId="167" fontId="3" fillId="0" borderId="10" xfId="0" applyNumberFormat="1" applyFont="1" applyFill="1" applyBorder="1" applyAlignment="1" applyProtection="1">
      <alignment vertical="center"/>
      <protection locked="0"/>
    </xf>
    <xf numFmtId="165" fontId="3" fillId="0" borderId="10" xfId="2" applyFont="1" applyFill="1" applyBorder="1" applyAlignment="1" applyProtection="1">
      <alignment vertical="center"/>
      <protection locked="0"/>
    </xf>
    <xf numFmtId="167" fontId="3" fillId="0" borderId="10" xfId="0" applyNumberFormat="1" applyFont="1" applyFill="1" applyBorder="1" applyAlignment="1" applyProtection="1">
      <alignment horizontal="right" vertical="center"/>
    </xf>
    <xf numFmtId="167" fontId="3" fillId="0" borderId="10" xfId="0" applyNumberFormat="1" applyFont="1" applyFill="1" applyBorder="1" applyAlignment="1" applyProtection="1">
      <alignment vertical="center"/>
    </xf>
    <xf numFmtId="166" fontId="3" fillId="0" borderId="10" xfId="2" applyNumberFormat="1" applyFont="1" applyFill="1" applyBorder="1" applyAlignment="1" applyProtection="1">
      <alignment vertical="center"/>
      <protection locked="0"/>
    </xf>
    <xf numFmtId="165" fontId="3" fillId="0" borderId="10" xfId="2" applyNumberFormat="1" applyFont="1" applyFill="1" applyBorder="1" applyAlignment="1" applyProtection="1">
      <alignment vertical="center"/>
    </xf>
    <xf numFmtId="165" fontId="3" fillId="0" borderId="11" xfId="2" applyNumberFormat="1" applyFont="1" applyFill="1" applyBorder="1" applyAlignment="1" applyProtection="1">
      <alignment vertical="center"/>
    </xf>
    <xf numFmtId="0" fontId="3" fillId="0" borderId="0" xfId="0" applyFont="1" applyFill="1" applyAlignment="1" applyProtection="1">
      <alignment vertical="center"/>
    </xf>
    <xf numFmtId="165" fontId="3" fillId="0" borderId="0" xfId="0" applyNumberFormat="1" applyFont="1" applyFill="1" applyAlignment="1" applyProtection="1">
      <alignment vertical="center"/>
    </xf>
    <xf numFmtId="0" fontId="0" fillId="0" borderId="0" xfId="0" applyFill="1" applyAlignment="1" applyProtection="1">
      <alignment vertical="center"/>
    </xf>
    <xf numFmtId="166" fontId="0" fillId="0" borderId="0" xfId="2" applyNumberFormat="1" applyFont="1" applyFill="1" applyAlignment="1" applyProtection="1">
      <alignment vertical="center"/>
    </xf>
    <xf numFmtId="166" fontId="1" fillId="0" borderId="0" xfId="2" applyNumberFormat="1" applyFill="1" applyAlignment="1" applyProtection="1">
      <alignment vertical="center"/>
    </xf>
    <xf numFmtId="165" fontId="1" fillId="0" borderId="0" xfId="2" applyFill="1" applyAlignment="1" applyProtection="1">
      <alignment vertical="center"/>
    </xf>
    <xf numFmtId="9" fontId="5" fillId="0" borderId="0" xfId="5" applyFont="1" applyFill="1" applyAlignment="1" applyProtection="1">
      <alignment vertical="center"/>
    </xf>
    <xf numFmtId="0" fontId="4" fillId="0" borderId="0" xfId="0" applyFont="1" applyFill="1" applyAlignment="1" applyProtection="1">
      <alignment vertical="center"/>
    </xf>
    <xf numFmtId="0" fontId="7" fillId="0" borderId="0" xfId="4" applyFont="1"/>
    <xf numFmtId="0" fontId="8" fillId="0" borderId="0" xfId="4" applyFont="1"/>
    <xf numFmtId="0" fontId="9" fillId="0" borderId="0" xfId="4" applyFont="1"/>
    <xf numFmtId="0" fontId="10" fillId="0" borderId="0" xfId="4" applyFont="1" applyAlignment="1">
      <alignment vertical="center"/>
    </xf>
    <xf numFmtId="0" fontId="11" fillId="0" borderId="0" xfId="4" applyFont="1" applyAlignment="1">
      <alignment vertical="center"/>
    </xf>
    <xf numFmtId="0" fontId="12" fillId="0" borderId="0" xfId="4" applyFont="1" applyAlignment="1">
      <alignment vertical="center"/>
    </xf>
    <xf numFmtId="165" fontId="11" fillId="0" borderId="0" xfId="3" applyFont="1" applyAlignment="1">
      <alignment vertical="center"/>
    </xf>
    <xf numFmtId="0" fontId="11" fillId="0" borderId="12" xfId="4" applyFont="1" applyBorder="1" applyAlignment="1">
      <alignment vertical="center"/>
    </xf>
    <xf numFmtId="0" fontId="11" fillId="0" borderId="13" xfId="4" applyFont="1" applyBorder="1" applyAlignment="1">
      <alignment vertical="center"/>
    </xf>
    <xf numFmtId="0" fontId="11" fillId="0" borderId="14" xfId="4" applyFont="1" applyBorder="1" applyAlignment="1">
      <alignment vertical="center"/>
    </xf>
    <xf numFmtId="0" fontId="11" fillId="0" borderId="10" xfId="4" applyFont="1" applyBorder="1" applyAlignment="1">
      <alignment vertical="center"/>
    </xf>
    <xf numFmtId="0" fontId="10" fillId="0" borderId="15" xfId="4" applyFont="1" applyBorder="1" applyAlignment="1">
      <alignment vertical="center"/>
    </xf>
    <xf numFmtId="0" fontId="8" fillId="0" borderId="10" xfId="4" applyFont="1" applyBorder="1"/>
    <xf numFmtId="0" fontId="11" fillId="0" borderId="15" xfId="4" applyFont="1" applyBorder="1" applyAlignment="1">
      <alignment vertical="center"/>
    </xf>
    <xf numFmtId="9" fontId="11" fillId="0" borderId="14" xfId="4" applyNumberFormat="1" applyFont="1" applyBorder="1" applyAlignment="1">
      <alignment vertical="center"/>
    </xf>
    <xf numFmtId="0" fontId="10" fillId="0" borderId="10" xfId="4" applyFont="1" applyBorder="1" applyAlignment="1">
      <alignment vertical="center"/>
    </xf>
    <xf numFmtId="165" fontId="11" fillId="0" borderId="10" xfId="3" applyFont="1" applyBorder="1" applyAlignment="1">
      <alignment vertical="center"/>
    </xf>
    <xf numFmtId="2" fontId="11" fillId="0" borderId="10" xfId="4" applyNumberFormat="1" applyFont="1" applyBorder="1" applyAlignment="1">
      <alignment vertical="center"/>
    </xf>
    <xf numFmtId="0" fontId="7" fillId="0" borderId="10" xfId="4" applyFont="1" applyBorder="1" applyAlignment="1">
      <alignment vertical="center"/>
    </xf>
    <xf numFmtId="0" fontId="8" fillId="0" borderId="10" xfId="4" applyFont="1" applyBorder="1" applyAlignment="1">
      <alignment vertical="center"/>
    </xf>
    <xf numFmtId="165" fontId="8" fillId="0" borderId="15" xfId="4" applyNumberFormat="1" applyFont="1" applyBorder="1" applyAlignment="1">
      <alignment vertical="center"/>
    </xf>
    <xf numFmtId="0" fontId="8" fillId="0" borderId="14" xfId="4" applyFont="1" applyBorder="1" applyAlignment="1">
      <alignment vertical="center"/>
    </xf>
    <xf numFmtId="0" fontId="8" fillId="0" borderId="0" xfId="4" applyFont="1" applyAlignment="1">
      <alignment vertical="center"/>
    </xf>
    <xf numFmtId="0" fontId="7" fillId="0" borderId="10" xfId="4" applyFont="1" applyBorder="1"/>
    <xf numFmtId="165" fontId="7" fillId="0" borderId="15" xfId="4" applyNumberFormat="1" applyFont="1" applyBorder="1" applyAlignment="1">
      <alignment vertical="center"/>
    </xf>
    <xf numFmtId="0" fontId="8" fillId="0" borderId="15" xfId="4" applyFont="1" applyBorder="1" applyAlignment="1">
      <alignment vertical="center"/>
    </xf>
    <xf numFmtId="0" fontId="7" fillId="0" borderId="16" xfId="4" applyFont="1" applyBorder="1" applyAlignment="1">
      <alignment vertical="center"/>
    </xf>
    <xf numFmtId="0" fontId="8" fillId="0" borderId="17" xfId="4" applyFont="1" applyBorder="1" applyAlignment="1">
      <alignment vertical="center"/>
    </xf>
    <xf numFmtId="0" fontId="7" fillId="0" borderId="17" xfId="4" applyFont="1" applyBorder="1" applyAlignment="1">
      <alignment vertical="center"/>
    </xf>
    <xf numFmtId="165" fontId="7" fillId="0" borderId="17" xfId="4" applyNumberFormat="1" applyFont="1" applyBorder="1" applyAlignment="1">
      <alignment vertical="center"/>
    </xf>
    <xf numFmtId="165" fontId="7" fillId="0" borderId="18" xfId="4" applyNumberFormat="1" applyFont="1" applyBorder="1" applyAlignment="1">
      <alignment vertical="center"/>
    </xf>
    <xf numFmtId="15" fontId="3" fillId="0" borderId="19" xfId="0" quotePrefix="1" applyNumberFormat="1" applyFont="1" applyFill="1" applyBorder="1" applyAlignment="1" applyProtection="1">
      <alignment vertical="center"/>
    </xf>
    <xf numFmtId="0" fontId="3" fillId="0" borderId="20" xfId="0" quotePrefix="1" applyFont="1" applyFill="1" applyBorder="1" applyAlignment="1" applyProtection="1">
      <alignment vertical="center"/>
    </xf>
    <xf numFmtId="0" fontId="3" fillId="0" borderId="21" xfId="0" applyFont="1" applyFill="1" applyBorder="1" applyAlignment="1" applyProtection="1">
      <alignment vertical="center"/>
    </xf>
    <xf numFmtId="0" fontId="3" fillId="0" borderId="21" xfId="0" applyFont="1" applyFill="1" applyBorder="1" applyAlignment="1" applyProtection="1">
      <alignment vertical="center"/>
      <protection locked="0"/>
    </xf>
    <xf numFmtId="14" fontId="3" fillId="0" borderId="21" xfId="0" applyNumberFormat="1" applyFont="1" applyFill="1" applyBorder="1" applyAlignment="1" applyProtection="1">
      <alignment horizontal="center" vertical="center"/>
      <protection locked="0"/>
    </xf>
    <xf numFmtId="0" fontId="3" fillId="0" borderId="21" xfId="0" applyNumberFormat="1" applyFont="1" applyFill="1" applyBorder="1" applyAlignment="1" applyProtection="1">
      <alignment horizontal="center" vertical="center"/>
      <protection locked="0"/>
    </xf>
    <xf numFmtId="0" fontId="3" fillId="0" borderId="21" xfId="0" applyFont="1" applyFill="1" applyBorder="1" applyAlignment="1" applyProtection="1">
      <alignment horizontal="center" vertical="center" wrapText="1"/>
      <protection locked="0"/>
    </xf>
    <xf numFmtId="0" fontId="3" fillId="0" borderId="21" xfId="0" applyFont="1" applyFill="1" applyBorder="1" applyAlignment="1" applyProtection="1">
      <alignment horizontal="center" vertical="center"/>
      <protection locked="0"/>
    </xf>
    <xf numFmtId="167" fontId="3" fillId="0" borderId="21" xfId="0" applyNumberFormat="1" applyFont="1" applyFill="1" applyBorder="1" applyAlignment="1" applyProtection="1">
      <alignment vertical="center"/>
      <protection locked="0"/>
    </xf>
    <xf numFmtId="165" fontId="3" fillId="0" borderId="21" xfId="2" applyFont="1" applyFill="1" applyBorder="1" applyAlignment="1" applyProtection="1">
      <alignment vertical="center"/>
      <protection locked="0"/>
    </xf>
    <xf numFmtId="167" fontId="3" fillId="0" borderId="22" xfId="0" applyNumberFormat="1" applyFont="1" applyFill="1" applyBorder="1" applyAlignment="1" applyProtection="1">
      <alignment vertical="center"/>
      <protection locked="0"/>
    </xf>
    <xf numFmtId="167" fontId="3" fillId="0" borderId="21" xfId="0" applyNumberFormat="1" applyFont="1" applyFill="1" applyBorder="1" applyAlignment="1" applyProtection="1">
      <alignment horizontal="right" vertical="center"/>
    </xf>
    <xf numFmtId="167" fontId="3" fillId="0" borderId="21" xfId="0" applyNumberFormat="1" applyFont="1" applyFill="1" applyBorder="1" applyAlignment="1" applyProtection="1">
      <alignment vertical="center"/>
    </xf>
    <xf numFmtId="167" fontId="3" fillId="0" borderId="22" xfId="0" applyNumberFormat="1" applyFont="1" applyFill="1" applyBorder="1" applyAlignment="1" applyProtection="1">
      <alignment vertical="center"/>
    </xf>
    <xf numFmtId="166" fontId="3" fillId="0" borderId="21" xfId="2" applyNumberFormat="1" applyFont="1" applyFill="1" applyBorder="1" applyAlignment="1" applyProtection="1">
      <alignment vertical="center"/>
      <protection locked="0"/>
    </xf>
    <xf numFmtId="165" fontId="3" fillId="0" borderId="22" xfId="2" applyNumberFormat="1" applyFont="1" applyFill="1" applyBorder="1" applyAlignment="1" applyProtection="1">
      <alignment vertical="center"/>
    </xf>
    <xf numFmtId="165" fontId="3" fillId="0" borderId="21" xfId="2" applyNumberFormat="1" applyFont="1" applyFill="1" applyBorder="1" applyAlignment="1" applyProtection="1">
      <alignment vertical="center"/>
    </xf>
    <xf numFmtId="165" fontId="3" fillId="0" borderId="23" xfId="2" applyNumberFormat="1" applyFont="1" applyFill="1" applyBorder="1" applyAlignment="1" applyProtection="1">
      <alignment vertical="center"/>
    </xf>
    <xf numFmtId="165" fontId="2" fillId="0" borderId="19" xfId="0" applyNumberFormat="1" applyFont="1" applyFill="1" applyBorder="1" applyAlignment="1" applyProtection="1">
      <alignment vertical="center"/>
    </xf>
    <xf numFmtId="0" fontId="0" fillId="0" borderId="2" xfId="0" applyFill="1" applyBorder="1" applyAlignment="1" applyProtection="1">
      <alignment vertical="center"/>
    </xf>
    <xf numFmtId="165" fontId="4" fillId="0" borderId="2" xfId="0" applyNumberFormat="1" applyFont="1" applyFill="1" applyBorder="1" applyAlignment="1" applyProtection="1">
      <alignment vertical="center"/>
    </xf>
    <xf numFmtId="0" fontId="10" fillId="0" borderId="24" xfId="4" applyFont="1" applyBorder="1" applyAlignment="1">
      <alignment horizontal="center" vertical="center"/>
    </xf>
    <xf numFmtId="0" fontId="10" fillId="0" borderId="25" xfId="4" applyFont="1" applyBorder="1" applyAlignment="1">
      <alignment horizontal="center" vertical="center"/>
    </xf>
    <xf numFmtId="0" fontId="10" fillId="0" borderId="12" xfId="4" applyFont="1" applyFill="1" applyBorder="1" applyAlignment="1">
      <alignment horizontal="center" vertical="center"/>
    </xf>
    <xf numFmtId="0" fontId="8" fillId="0" borderId="10" xfId="4" applyFont="1" applyBorder="1" applyAlignment="1">
      <alignment horizontal="center" vertical="center"/>
    </xf>
  </cellXfs>
  <cellStyles count="6">
    <cellStyle name="Euro" xfId="1"/>
    <cellStyle name="Milliers" xfId="2" builtinId="3"/>
    <cellStyle name="Milliers 2" xfId="3"/>
    <cellStyle name="Normal" xfId="0" builtinId="0"/>
    <cellStyle name="Normal 2" xfId="4"/>
    <cellStyle name="Pourcentage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ublic\SIDEXAM\PERSONNEL\FICHE%20DE%20PAIE%20SIDEXAM\PAIEIGR%20(D13B7SDX1_1)%20LF%2020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GRarrondi"/>
      <sheetName val="REC G. Perm."/>
      <sheetName val="ETAT IRSA"/>
      <sheetName val="IGR"/>
      <sheetName val="calcul hs"/>
      <sheetName val="MOIS"/>
      <sheetName val="PAIEjuin"/>
      <sheetName val="RECAP RAPPEL PERM"/>
      <sheetName val="RAPPEL"/>
      <sheetName val="IMPRIME"/>
    </sheetNames>
    <sheetDataSet>
      <sheetData sheetId="0"/>
      <sheetData sheetId="1"/>
      <sheetData sheetId="2"/>
      <sheetData sheetId="3"/>
      <sheetData sheetId="4">
        <row r="14">
          <cell r="D14">
            <v>860.2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view="pageBreakPreview" topLeftCell="A11" zoomScaleNormal="100" workbookViewId="0">
      <selection activeCell="D40" sqref="D40"/>
    </sheetView>
  </sheetViews>
  <sheetFormatPr baseColWidth="10" defaultColWidth="0" defaultRowHeight="13.8" x14ac:dyDescent="0.3"/>
  <cols>
    <col min="1" max="1" width="37.109375" style="54" customWidth="1"/>
    <col min="2" max="2" width="14.33203125" style="54" customWidth="1"/>
    <col min="3" max="4" width="11.6640625" style="54" bestFit="1" customWidth="1"/>
    <col min="5" max="5" width="13.44140625" style="54" bestFit="1" customWidth="1"/>
    <col min="6" max="6" width="11.88671875" style="54" customWidth="1"/>
    <col min="7" max="7" width="16.6640625" style="54" bestFit="1" customWidth="1"/>
    <col min="8" max="8" width="4.88671875" style="54" customWidth="1"/>
    <col min="9" max="16384" width="0" style="54" hidden="1"/>
  </cols>
  <sheetData>
    <row r="1" spans="1:10" x14ac:dyDescent="0.3">
      <c r="A1" s="53" t="s">
        <v>45</v>
      </c>
      <c r="E1" s="55" t="s">
        <v>46</v>
      </c>
    </row>
    <row r="2" spans="1:10" x14ac:dyDescent="0.3">
      <c r="A2" s="56" t="str">
        <f ca="1">+TEXT(TODAY(),"mmmm aa")</f>
        <v>novembre aa</v>
      </c>
      <c r="B2" s="56" t="s">
        <v>47</v>
      </c>
      <c r="C2" s="57"/>
      <c r="D2" s="57"/>
      <c r="E2" s="58" t="s">
        <v>48</v>
      </c>
      <c r="F2" s="57"/>
      <c r="G2" s="59">
        <f>71000*8</f>
        <v>568000</v>
      </c>
      <c r="H2" s="57"/>
      <c r="I2" s="57"/>
      <c r="J2" s="57"/>
    </row>
    <row r="3" spans="1:10" ht="14.4" thickBot="1" x14ac:dyDescent="0.35">
      <c r="A3" s="57"/>
      <c r="B3" s="57"/>
      <c r="C3" s="57"/>
      <c r="D3" s="57" t="s">
        <v>49</v>
      </c>
      <c r="E3" s="58" t="s">
        <v>50</v>
      </c>
      <c r="F3" s="57"/>
      <c r="G3" s="59"/>
      <c r="H3" s="57"/>
      <c r="I3" s="57"/>
      <c r="J3" s="57"/>
    </row>
    <row r="4" spans="1:10" x14ac:dyDescent="0.3">
      <c r="A4" s="105" t="s">
        <v>51</v>
      </c>
      <c r="B4" s="60"/>
      <c r="C4" s="60"/>
      <c r="D4" s="107" t="s">
        <v>52</v>
      </c>
      <c r="E4" s="107"/>
      <c r="F4" s="60"/>
      <c r="G4" s="61"/>
      <c r="H4" s="62"/>
      <c r="I4" s="57"/>
      <c r="J4" s="57"/>
    </row>
    <row r="5" spans="1:10" x14ac:dyDescent="0.3">
      <c r="A5" s="106"/>
      <c r="B5" s="63"/>
      <c r="C5" s="63"/>
      <c r="D5" s="63"/>
      <c r="E5" s="63"/>
      <c r="F5" s="63"/>
      <c r="G5" s="64" t="s">
        <v>53</v>
      </c>
      <c r="H5" s="62"/>
      <c r="I5" s="57"/>
      <c r="J5" s="57"/>
    </row>
    <row r="6" spans="1:10" x14ac:dyDescent="0.3">
      <c r="A6" s="106"/>
      <c r="B6" s="63"/>
      <c r="C6" s="63"/>
      <c r="D6" s="65"/>
      <c r="E6" s="63"/>
      <c r="F6" s="63" t="s">
        <v>54</v>
      </c>
      <c r="G6" s="66">
        <v>8</v>
      </c>
      <c r="H6" s="67">
        <v>0.3</v>
      </c>
      <c r="I6" s="57"/>
      <c r="J6" s="57"/>
    </row>
    <row r="7" spans="1:10" x14ac:dyDescent="0.3">
      <c r="A7" s="106"/>
      <c r="B7" s="63"/>
      <c r="C7" s="63"/>
      <c r="D7" s="65"/>
      <c r="E7" s="63"/>
      <c r="F7" s="63" t="s">
        <v>55</v>
      </c>
      <c r="G7" s="66">
        <v>12</v>
      </c>
      <c r="H7" s="67">
        <v>0.5</v>
      </c>
      <c r="I7" s="57"/>
      <c r="J7" s="57"/>
    </row>
    <row r="8" spans="1:10" x14ac:dyDescent="0.3">
      <c r="A8" s="106"/>
      <c r="B8" s="63"/>
      <c r="C8" s="63"/>
      <c r="D8" s="63"/>
      <c r="E8" s="63"/>
      <c r="F8" s="63" t="s">
        <v>56</v>
      </c>
      <c r="G8" s="66">
        <v>5</v>
      </c>
      <c r="H8" s="67">
        <v>0.4</v>
      </c>
      <c r="I8" s="57"/>
      <c r="J8" s="57"/>
    </row>
    <row r="9" spans="1:10" x14ac:dyDescent="0.3">
      <c r="A9" s="106"/>
      <c r="B9" s="63"/>
      <c r="C9" s="63"/>
      <c r="D9" s="63"/>
      <c r="E9" s="63"/>
      <c r="F9" s="63" t="s">
        <v>57</v>
      </c>
      <c r="G9" s="66">
        <v>5</v>
      </c>
      <c r="H9" s="67">
        <v>1</v>
      </c>
      <c r="I9" s="57"/>
      <c r="J9" s="57"/>
    </row>
    <row r="10" spans="1:10" x14ac:dyDescent="0.3">
      <c r="A10" s="106"/>
      <c r="B10" s="63"/>
      <c r="C10" s="63"/>
      <c r="D10" s="63"/>
      <c r="E10" s="68" t="s">
        <v>58</v>
      </c>
      <c r="F10" s="68" t="s">
        <v>59</v>
      </c>
      <c r="G10" s="64" t="s">
        <v>60</v>
      </c>
      <c r="H10" s="67"/>
      <c r="I10" s="57"/>
      <c r="J10" s="57"/>
    </row>
    <row r="11" spans="1:10" x14ac:dyDescent="0.3">
      <c r="A11" s="106"/>
      <c r="B11" s="63"/>
      <c r="C11" s="63"/>
      <c r="D11" s="63"/>
      <c r="E11" s="68" t="s">
        <v>61</v>
      </c>
      <c r="F11" s="63"/>
      <c r="G11" s="66"/>
      <c r="H11" s="62"/>
      <c r="I11" s="57"/>
      <c r="J11" s="57"/>
    </row>
    <row r="12" spans="1:10" x14ac:dyDescent="0.3">
      <c r="A12" s="106"/>
      <c r="B12" s="63"/>
      <c r="C12" s="63"/>
      <c r="D12" s="63"/>
      <c r="E12" s="69">
        <v>250000</v>
      </c>
      <c r="F12" s="70">
        <v>173.33</v>
      </c>
      <c r="G12" s="66" t="s">
        <v>62</v>
      </c>
      <c r="H12" s="62"/>
      <c r="I12" s="57"/>
      <c r="J12" s="57"/>
    </row>
    <row r="13" spans="1:10" x14ac:dyDescent="0.3">
      <c r="A13" s="106"/>
      <c r="B13" s="68" t="s">
        <v>63</v>
      </c>
      <c r="C13" s="63"/>
      <c r="D13" s="63" t="s">
        <v>64</v>
      </c>
      <c r="E13" s="69">
        <f>+E12/F12</f>
        <v>1442.3354295274908</v>
      </c>
      <c r="F13" s="63"/>
      <c r="G13" s="66"/>
      <c r="H13" s="62"/>
      <c r="I13" s="57"/>
      <c r="J13" s="57"/>
    </row>
    <row r="14" spans="1:10" x14ac:dyDescent="0.3">
      <c r="A14" s="106"/>
      <c r="B14" s="71" t="s">
        <v>65</v>
      </c>
      <c r="C14" s="108">
        <v>12</v>
      </c>
      <c r="D14" s="72">
        <f>ROUND(E12/F12,2)</f>
        <v>1442.34</v>
      </c>
      <c r="E14" s="72">
        <f>IF(C14&gt;8,8,C14)</f>
        <v>8</v>
      </c>
      <c r="F14" s="72">
        <v>1.3</v>
      </c>
      <c r="G14" s="73">
        <f>+E14*$E$13*F14</f>
        <v>15000.288467085904</v>
      </c>
      <c r="H14" s="74"/>
      <c r="I14" s="75"/>
      <c r="J14" s="75"/>
    </row>
    <row r="15" spans="1:10" x14ac:dyDescent="0.3">
      <c r="A15" s="106"/>
      <c r="B15" s="71" t="s">
        <v>66</v>
      </c>
      <c r="C15" s="108"/>
      <c r="D15" s="72"/>
      <c r="E15" s="72">
        <f>IF(C14-E14&gt;12,12,C14-E14)</f>
        <v>4</v>
      </c>
      <c r="F15" s="72">
        <v>1.5</v>
      </c>
      <c r="G15" s="73">
        <f>+E15*$E$13*F15</f>
        <v>8654.0125771649437</v>
      </c>
      <c r="H15" s="74"/>
      <c r="I15" s="75"/>
      <c r="J15" s="75"/>
    </row>
    <row r="16" spans="1:10" x14ac:dyDescent="0.3">
      <c r="A16" s="106"/>
      <c r="B16" s="71" t="s">
        <v>67</v>
      </c>
      <c r="C16" s="71"/>
      <c r="D16" s="72"/>
      <c r="E16" s="72">
        <f>+C16</f>
        <v>0</v>
      </c>
      <c r="F16" s="72">
        <v>1.4</v>
      </c>
      <c r="G16" s="73">
        <f>+E16*$E$13*F16</f>
        <v>0</v>
      </c>
      <c r="H16" s="74"/>
      <c r="I16" s="75"/>
      <c r="J16" s="75"/>
    </row>
    <row r="17" spans="1:10" x14ac:dyDescent="0.3">
      <c r="A17" s="106"/>
      <c r="B17" s="76" t="s">
        <v>68</v>
      </c>
      <c r="C17" s="71"/>
      <c r="D17" s="72"/>
      <c r="E17" s="72">
        <f>+C17</f>
        <v>0</v>
      </c>
      <c r="F17" s="72">
        <f>200/100</f>
        <v>2</v>
      </c>
      <c r="G17" s="73">
        <f>+E17*$E$13*F17</f>
        <v>0</v>
      </c>
      <c r="H17" s="74"/>
      <c r="I17" s="75"/>
      <c r="J17" s="75"/>
    </row>
    <row r="18" spans="1:10" x14ac:dyDescent="0.3">
      <c r="A18" s="106"/>
      <c r="B18" s="71"/>
      <c r="C18" s="71"/>
      <c r="D18" s="72"/>
      <c r="E18" s="71" t="s">
        <v>69</v>
      </c>
      <c r="F18" s="71">
        <f>SUM(E14:E17)</f>
        <v>12</v>
      </c>
      <c r="G18" s="77">
        <f>SUM(G14:G17)</f>
        <v>23654.301044250846</v>
      </c>
      <c r="H18" s="74"/>
      <c r="I18" s="75"/>
      <c r="J18" s="75"/>
    </row>
    <row r="19" spans="1:10" x14ac:dyDescent="0.3">
      <c r="A19" s="106"/>
      <c r="B19" s="63"/>
      <c r="C19" s="63"/>
      <c r="D19" s="63"/>
      <c r="E19" s="68" t="s">
        <v>61</v>
      </c>
      <c r="F19" s="63"/>
      <c r="G19" s="66"/>
      <c r="H19" s="74"/>
      <c r="I19" s="75"/>
      <c r="J19" s="75"/>
    </row>
    <row r="20" spans="1:10" x14ac:dyDescent="0.3">
      <c r="A20" s="106"/>
      <c r="B20" s="63"/>
      <c r="C20" s="63"/>
      <c r="D20" s="63"/>
      <c r="E20" s="69">
        <f>+E12</f>
        <v>250000</v>
      </c>
      <c r="F20" s="70">
        <v>173.33</v>
      </c>
      <c r="G20" s="66" t="s">
        <v>62</v>
      </c>
      <c r="H20" s="74"/>
      <c r="I20" s="75"/>
      <c r="J20" s="75"/>
    </row>
    <row r="21" spans="1:10" x14ac:dyDescent="0.3">
      <c r="A21" s="106"/>
      <c r="B21" s="63" t="s">
        <v>70</v>
      </c>
      <c r="C21" s="63"/>
      <c r="D21" s="63" t="s">
        <v>64</v>
      </c>
      <c r="E21" s="69">
        <f>+E20/F20</f>
        <v>1442.3354295274908</v>
      </c>
      <c r="F21" s="63"/>
      <c r="G21" s="66"/>
      <c r="H21" s="74"/>
      <c r="I21" s="75"/>
      <c r="J21" s="75"/>
    </row>
    <row r="22" spans="1:10" x14ac:dyDescent="0.3">
      <c r="A22" s="106"/>
      <c r="B22" s="71" t="s">
        <v>65</v>
      </c>
      <c r="C22" s="108"/>
      <c r="D22" s="72">
        <f>+D14</f>
        <v>1442.34</v>
      </c>
      <c r="E22" s="72">
        <f>IF(C22&gt;8,8,C22)</f>
        <v>0</v>
      </c>
      <c r="F22" s="72">
        <v>1.3</v>
      </c>
      <c r="G22" s="73">
        <f>+E22*$E$13*F22</f>
        <v>0</v>
      </c>
      <c r="H22" s="74"/>
      <c r="I22" s="75"/>
      <c r="J22" s="75"/>
    </row>
    <row r="23" spans="1:10" x14ac:dyDescent="0.3">
      <c r="A23" s="106"/>
      <c r="B23" s="71" t="s">
        <v>66</v>
      </c>
      <c r="C23" s="108"/>
      <c r="D23" s="72"/>
      <c r="E23" s="72">
        <f>IF(C22-E22&gt;12,12,C22-E22)</f>
        <v>0</v>
      </c>
      <c r="F23" s="72">
        <v>1.5</v>
      </c>
      <c r="G23" s="73">
        <f>+E23*$E$13*F23</f>
        <v>0</v>
      </c>
      <c r="H23" s="74"/>
      <c r="I23" s="75"/>
      <c r="J23" s="75"/>
    </row>
    <row r="24" spans="1:10" x14ac:dyDescent="0.3">
      <c r="A24" s="106"/>
      <c r="B24" s="71" t="s">
        <v>67</v>
      </c>
      <c r="C24" s="72"/>
      <c r="D24" s="72"/>
      <c r="E24" s="72">
        <f>+C24</f>
        <v>0</v>
      </c>
      <c r="F24" s="72">
        <v>1.4</v>
      </c>
      <c r="G24" s="73">
        <f>+E24*$E$13*F24</f>
        <v>0</v>
      </c>
      <c r="H24" s="74"/>
      <c r="I24" s="75"/>
      <c r="J24" s="75"/>
    </row>
    <row r="25" spans="1:10" x14ac:dyDescent="0.3">
      <c r="A25" s="106"/>
      <c r="B25" s="76" t="s">
        <v>68</v>
      </c>
      <c r="C25" s="72"/>
      <c r="D25" s="72"/>
      <c r="E25" s="72">
        <f>+C25</f>
        <v>0</v>
      </c>
      <c r="F25" s="72">
        <f>200/100</f>
        <v>2</v>
      </c>
      <c r="G25" s="73">
        <f>+E25*$E$13*F25</f>
        <v>0</v>
      </c>
      <c r="H25" s="74"/>
      <c r="I25" s="75"/>
      <c r="J25" s="75"/>
    </row>
    <row r="26" spans="1:10" x14ac:dyDescent="0.3">
      <c r="A26" s="106"/>
      <c r="B26" s="72"/>
      <c r="C26" s="72"/>
      <c r="D26" s="72"/>
      <c r="E26" s="71" t="s">
        <v>69</v>
      </c>
      <c r="F26" s="71">
        <f>SUM(E22:E25)</f>
        <v>0</v>
      </c>
      <c r="G26" s="77">
        <f>SUM(G22:G25)</f>
        <v>0</v>
      </c>
      <c r="H26" s="74"/>
      <c r="I26" s="75"/>
      <c r="J26" s="75"/>
    </row>
    <row r="27" spans="1:10" x14ac:dyDescent="0.3">
      <c r="A27" s="106"/>
      <c r="B27" s="63"/>
      <c r="C27" s="63"/>
      <c r="D27" s="63"/>
      <c r="E27" s="63" t="s">
        <v>61</v>
      </c>
      <c r="F27" s="63"/>
      <c r="G27" s="66"/>
      <c r="H27" s="74"/>
      <c r="I27" s="75"/>
      <c r="J27" s="75"/>
    </row>
    <row r="28" spans="1:10" x14ac:dyDescent="0.3">
      <c r="A28" s="106"/>
      <c r="B28" s="63"/>
      <c r="C28" s="63"/>
      <c r="D28" s="63"/>
      <c r="E28" s="69">
        <f>+E20</f>
        <v>250000</v>
      </c>
      <c r="F28" s="70">
        <v>173.33</v>
      </c>
      <c r="G28" s="66" t="s">
        <v>62</v>
      </c>
      <c r="H28" s="74"/>
      <c r="I28" s="75"/>
      <c r="J28" s="75"/>
    </row>
    <row r="29" spans="1:10" x14ac:dyDescent="0.3">
      <c r="A29" s="106"/>
      <c r="B29" s="63" t="s">
        <v>71</v>
      </c>
      <c r="C29" s="63"/>
      <c r="D29" s="63" t="s">
        <v>64</v>
      </c>
      <c r="E29" s="69">
        <f>+E28/F28</f>
        <v>1442.3354295274908</v>
      </c>
      <c r="F29" s="63"/>
      <c r="G29" s="66"/>
      <c r="H29" s="74"/>
      <c r="I29" s="75"/>
      <c r="J29" s="75"/>
    </row>
    <row r="30" spans="1:10" x14ac:dyDescent="0.3">
      <c r="A30" s="106"/>
      <c r="B30" s="71" t="s">
        <v>65</v>
      </c>
      <c r="C30" s="108"/>
      <c r="D30" s="72">
        <f>+D22</f>
        <v>1442.34</v>
      </c>
      <c r="E30" s="72">
        <f>IF(C30&gt;8,8,C30)</f>
        <v>0</v>
      </c>
      <c r="F30" s="72">
        <v>1.3</v>
      </c>
      <c r="G30" s="73">
        <f>+E30*$E$13*F30</f>
        <v>0</v>
      </c>
      <c r="H30" s="74"/>
      <c r="I30" s="75"/>
      <c r="J30" s="75"/>
    </row>
    <row r="31" spans="1:10" x14ac:dyDescent="0.3">
      <c r="A31" s="106"/>
      <c r="B31" s="71" t="s">
        <v>66</v>
      </c>
      <c r="C31" s="108"/>
      <c r="D31" s="72"/>
      <c r="E31" s="72">
        <f>IF(C30-E30&gt;12,12,C30-E30)</f>
        <v>0</v>
      </c>
      <c r="F31" s="72">
        <v>1.5</v>
      </c>
      <c r="G31" s="73">
        <f>+E31*$E$13*F31</f>
        <v>0</v>
      </c>
      <c r="H31" s="74"/>
      <c r="I31" s="75"/>
      <c r="J31" s="75"/>
    </row>
    <row r="32" spans="1:10" x14ac:dyDescent="0.3">
      <c r="A32" s="106"/>
      <c r="B32" s="71" t="s">
        <v>67</v>
      </c>
      <c r="C32" s="72"/>
      <c r="D32" s="72"/>
      <c r="E32" s="72">
        <f>+C32</f>
        <v>0</v>
      </c>
      <c r="F32" s="72">
        <v>1.4</v>
      </c>
      <c r="G32" s="73">
        <f>+E32*$E$13*F32</f>
        <v>0</v>
      </c>
      <c r="H32" s="74"/>
      <c r="I32" s="75"/>
      <c r="J32" s="75"/>
    </row>
    <row r="33" spans="1:10" x14ac:dyDescent="0.3">
      <c r="A33" s="106"/>
      <c r="B33" s="76" t="s">
        <v>68</v>
      </c>
      <c r="C33" s="72"/>
      <c r="D33" s="72"/>
      <c r="E33" s="72">
        <f>+C33</f>
        <v>0</v>
      </c>
      <c r="F33" s="72">
        <f>200/100</f>
        <v>2</v>
      </c>
      <c r="G33" s="73">
        <f>+E33*$E$13*F33</f>
        <v>0</v>
      </c>
      <c r="H33" s="74"/>
      <c r="I33" s="75"/>
      <c r="J33" s="75"/>
    </row>
    <row r="34" spans="1:10" x14ac:dyDescent="0.3">
      <c r="A34" s="106"/>
      <c r="B34" s="72"/>
      <c r="C34" s="72"/>
      <c r="D34" s="72"/>
      <c r="E34" s="71" t="s">
        <v>69</v>
      </c>
      <c r="F34" s="71">
        <f>SUM(E30:E33)</f>
        <v>0</v>
      </c>
      <c r="G34" s="77">
        <f>SUM(G30:G33)</f>
        <v>0</v>
      </c>
      <c r="H34" s="74"/>
      <c r="I34" s="75"/>
      <c r="J34" s="75"/>
    </row>
    <row r="35" spans="1:10" x14ac:dyDescent="0.3">
      <c r="A35" s="106"/>
      <c r="B35" s="63"/>
      <c r="C35" s="63"/>
      <c r="D35" s="63"/>
      <c r="E35" s="63" t="s">
        <v>61</v>
      </c>
      <c r="F35" s="63"/>
      <c r="G35" s="66"/>
      <c r="H35" s="74"/>
      <c r="I35" s="75"/>
      <c r="J35" s="75"/>
    </row>
    <row r="36" spans="1:10" x14ac:dyDescent="0.3">
      <c r="A36" s="106"/>
      <c r="B36" s="63"/>
      <c r="C36" s="63"/>
      <c r="D36" s="63"/>
      <c r="E36" s="69">
        <f>+E28</f>
        <v>250000</v>
      </c>
      <c r="F36" s="70">
        <v>173.33</v>
      </c>
      <c r="G36" s="66" t="s">
        <v>62</v>
      </c>
      <c r="H36" s="74"/>
      <c r="I36" s="75"/>
      <c r="J36" s="75"/>
    </row>
    <row r="37" spans="1:10" x14ac:dyDescent="0.3">
      <c r="A37" s="106"/>
      <c r="B37" s="63" t="s">
        <v>72</v>
      </c>
      <c r="C37" s="63"/>
      <c r="D37" s="63" t="s">
        <v>64</v>
      </c>
      <c r="E37" s="69">
        <f>+E36/F36</f>
        <v>1442.3354295274908</v>
      </c>
      <c r="F37" s="63"/>
      <c r="G37" s="66"/>
      <c r="H37" s="74"/>
      <c r="I37" s="75"/>
      <c r="J37" s="75"/>
    </row>
    <row r="38" spans="1:10" x14ac:dyDescent="0.3">
      <c r="A38" s="106"/>
      <c r="B38" s="71" t="s">
        <v>65</v>
      </c>
      <c r="C38" s="108"/>
      <c r="D38" s="72">
        <f>+D30</f>
        <v>1442.34</v>
      </c>
      <c r="E38" s="72">
        <f>IF(C38&gt;8,8,C38)</f>
        <v>0</v>
      </c>
      <c r="F38" s="72">
        <v>1.3</v>
      </c>
      <c r="G38" s="73">
        <f>+E38*$E$13*F38</f>
        <v>0</v>
      </c>
      <c r="H38" s="74"/>
      <c r="I38" s="75"/>
      <c r="J38" s="75"/>
    </row>
    <row r="39" spans="1:10" x14ac:dyDescent="0.3">
      <c r="A39" s="106"/>
      <c r="B39" s="71" t="s">
        <v>66</v>
      </c>
      <c r="C39" s="108"/>
      <c r="D39" s="72"/>
      <c r="E39" s="72">
        <f>IF(C38-E38&gt;12,12,C38-E38)</f>
        <v>0</v>
      </c>
      <c r="F39" s="72">
        <v>1.5</v>
      </c>
      <c r="G39" s="73">
        <f>+E39*$E$13*F39</f>
        <v>0</v>
      </c>
      <c r="H39" s="74"/>
      <c r="I39" s="75"/>
      <c r="J39" s="75"/>
    </row>
    <row r="40" spans="1:10" x14ac:dyDescent="0.3">
      <c r="A40" s="106"/>
      <c r="B40" s="71" t="s">
        <v>67</v>
      </c>
      <c r="C40" s="72"/>
      <c r="D40" s="72"/>
      <c r="E40" s="72">
        <f>+C40</f>
        <v>0</v>
      </c>
      <c r="F40" s="72">
        <v>1.4</v>
      </c>
      <c r="G40" s="73">
        <f>+E40*$E$13*F40</f>
        <v>0</v>
      </c>
      <c r="H40" s="74"/>
      <c r="I40" s="75"/>
      <c r="J40" s="75"/>
    </row>
    <row r="41" spans="1:10" x14ac:dyDescent="0.3">
      <c r="A41" s="106"/>
      <c r="B41" s="76" t="s">
        <v>68</v>
      </c>
      <c r="C41" s="72"/>
      <c r="D41" s="72"/>
      <c r="E41" s="72">
        <f>+C41</f>
        <v>0</v>
      </c>
      <c r="F41" s="72">
        <f>200/100</f>
        <v>2</v>
      </c>
      <c r="G41" s="73">
        <f>+E41*$E$13*F41</f>
        <v>0</v>
      </c>
      <c r="H41" s="74"/>
      <c r="I41" s="75"/>
      <c r="J41" s="75"/>
    </row>
    <row r="42" spans="1:10" x14ac:dyDescent="0.3">
      <c r="A42" s="106"/>
      <c r="B42" s="72"/>
      <c r="C42" s="72"/>
      <c r="D42" s="72"/>
      <c r="E42" s="71" t="s">
        <v>69</v>
      </c>
      <c r="F42" s="71">
        <f>SUM(E38:E41)</f>
        <v>0</v>
      </c>
      <c r="G42" s="77">
        <f>SUM(G38:G41)</f>
        <v>0</v>
      </c>
      <c r="H42" s="74"/>
      <c r="I42" s="75"/>
      <c r="J42" s="75"/>
    </row>
    <row r="43" spans="1:10" x14ac:dyDescent="0.3">
      <c r="A43" s="106"/>
      <c r="B43" s="72"/>
      <c r="C43" s="72"/>
      <c r="D43" s="72"/>
      <c r="E43" s="72"/>
      <c r="F43" s="72"/>
      <c r="G43" s="78"/>
      <c r="H43" s="74"/>
      <c r="I43" s="75"/>
      <c r="J43" s="75"/>
    </row>
    <row r="44" spans="1:10" ht="14.4" thickBot="1" x14ac:dyDescent="0.35">
      <c r="A44" s="79" t="s">
        <v>43</v>
      </c>
      <c r="B44" s="80"/>
      <c r="C44" s="80"/>
      <c r="D44" s="80"/>
      <c r="E44" s="81" t="s">
        <v>73</v>
      </c>
      <c r="F44" s="82">
        <f>F18+F26+F34+F42</f>
        <v>12</v>
      </c>
      <c r="G44" s="83">
        <f>G18+G26+G34+G42</f>
        <v>23654.301044250846</v>
      </c>
      <c r="H44" s="74"/>
      <c r="I44" s="75"/>
      <c r="J44" s="75"/>
    </row>
    <row r="45" spans="1:10" x14ac:dyDescent="0.3">
      <c r="A45" s="75"/>
      <c r="B45" s="75"/>
      <c r="C45" s="75"/>
      <c r="D45" s="75"/>
      <c r="E45" s="75"/>
      <c r="F45" s="75"/>
      <c r="G45" s="75"/>
      <c r="H45" s="75"/>
      <c r="I45" s="75"/>
      <c r="J45" s="75"/>
    </row>
    <row r="46" spans="1:10" x14ac:dyDescent="0.3">
      <c r="A46" s="75"/>
      <c r="B46" s="75"/>
      <c r="C46" s="75"/>
      <c r="D46" s="75"/>
      <c r="E46" s="75"/>
      <c r="F46" s="75"/>
      <c r="G46" s="75"/>
      <c r="H46" s="75"/>
      <c r="I46" s="75"/>
      <c r="J46" s="75"/>
    </row>
    <row r="47" spans="1:10" x14ac:dyDescent="0.3">
      <c r="A47" s="75"/>
      <c r="B47" s="75"/>
      <c r="C47" s="75"/>
      <c r="D47" s="75"/>
      <c r="E47" s="75"/>
      <c r="F47" s="75"/>
      <c r="G47" s="75"/>
      <c r="H47" s="75"/>
      <c r="I47" s="75"/>
      <c r="J47" s="75"/>
    </row>
  </sheetData>
  <mergeCells count="6">
    <mergeCell ref="A4:A43"/>
    <mergeCell ref="D4:E4"/>
    <mergeCell ref="C14:C15"/>
    <mergeCell ref="C22:C23"/>
    <mergeCell ref="C30:C31"/>
    <mergeCell ref="C38:C39"/>
  </mergeCells>
  <pageMargins left="0.15" right="0.14000000000000001" top="0.984251969" bottom="0.984251969" header="0.4921259845" footer="0.4921259845"/>
  <pageSetup paperSize="9" scale="7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12"/>
  <sheetViews>
    <sheetView showGridLines="0" showZeros="0" tabSelected="1" zoomScaleNormal="100" workbookViewId="0">
      <selection activeCell="A8" sqref="A8"/>
    </sheetView>
  </sheetViews>
  <sheetFormatPr baseColWidth="10" defaultColWidth="11.44140625" defaultRowHeight="24.9" customHeight="1" x14ac:dyDescent="0.25"/>
  <cols>
    <col min="1" max="1" width="12.109375" style="47" customWidth="1"/>
    <col min="2" max="2" width="7" style="47" customWidth="1"/>
    <col min="3" max="3" width="10.33203125" style="47" customWidth="1"/>
    <col min="4" max="4" width="15.88671875" style="47" customWidth="1"/>
    <col min="5" max="5" width="33.44140625" style="47" bestFit="1" customWidth="1"/>
    <col min="6" max="7" width="11.33203125" style="47" customWidth="1"/>
    <col min="8" max="8" width="7.6640625" style="47" customWidth="1"/>
    <col min="9" max="9" width="28.109375" style="47" customWidth="1"/>
    <col min="10" max="10" width="14.5546875" style="47" customWidth="1"/>
    <col min="11" max="11" width="6.44140625" style="47" customWidth="1"/>
    <col min="12" max="12" width="14.5546875" style="47" customWidth="1"/>
    <col min="13" max="13" width="13" style="47" bestFit="1" customWidth="1"/>
    <col min="14" max="15" width="6.44140625" style="47" customWidth="1"/>
    <col min="16" max="16" width="12" style="47" bestFit="1" customWidth="1"/>
    <col min="17" max="17" width="14.5546875" style="47" customWidth="1"/>
    <col min="18" max="18" width="12" style="47" customWidth="1"/>
    <col min="19" max="19" width="13" style="47" customWidth="1"/>
    <col min="20" max="20" width="12" style="47" customWidth="1"/>
    <col min="21" max="21" width="13" style="47" bestFit="1" customWidth="1"/>
    <col min="22" max="22" width="14.5546875" style="47" customWidth="1"/>
    <col min="23" max="23" width="14.5546875" style="47" bestFit="1" customWidth="1"/>
    <col min="24" max="24" width="6.44140625" style="48" customWidth="1"/>
    <col min="25" max="25" width="6.44140625" style="47" customWidth="1"/>
    <col min="26" max="26" width="14.5546875" style="49" bestFit="1" customWidth="1"/>
    <col min="27" max="27" width="6.44140625" style="49" customWidth="1"/>
    <col min="28" max="29" width="14.5546875" style="49" customWidth="1"/>
    <col min="30" max="30" width="13" style="49" bestFit="1" customWidth="1"/>
    <col min="31" max="31" width="14.5546875" style="51" customWidth="1"/>
    <col min="32" max="32" width="13" style="47" customWidth="1"/>
    <col min="33" max="33" width="14.5546875" style="47" bestFit="1" customWidth="1"/>
    <col min="34" max="34" width="12.44140625" style="47" bestFit="1" customWidth="1"/>
    <col min="35" max="35" width="11.44140625" style="47"/>
    <col min="36" max="36" width="12.44140625" style="47" bestFit="1" customWidth="1"/>
    <col min="37" max="16384" width="11.44140625" style="47"/>
  </cols>
  <sheetData>
    <row r="1" spans="1:36" ht="24.9" customHeight="1" x14ac:dyDescent="0.25">
      <c r="E1" s="52" t="str">
        <f ca="1">+"ETAT DE PAIE "&amp;" "&amp;TEXT(A5,"mmmm aaaa")</f>
        <v>ETAT DE PAIE  novembre dimanche</v>
      </c>
    </row>
    <row r="4" spans="1:36" s="13" customFormat="1" ht="24.9" customHeight="1" x14ac:dyDescent="0.25">
      <c r="A4" s="1" t="s">
        <v>0</v>
      </c>
      <c r="B4" s="1" t="s">
        <v>1</v>
      </c>
      <c r="C4" s="1" t="s">
        <v>2</v>
      </c>
      <c r="D4" s="1" t="s">
        <v>3</v>
      </c>
      <c r="E4" s="2" t="s">
        <v>4</v>
      </c>
      <c r="F4" s="3" t="s">
        <v>5</v>
      </c>
      <c r="G4" s="3" t="s">
        <v>6</v>
      </c>
      <c r="H4" s="4" t="s">
        <v>7</v>
      </c>
      <c r="I4" s="4" t="s">
        <v>8</v>
      </c>
      <c r="J4" s="5" t="s">
        <v>9</v>
      </c>
      <c r="K4" s="4" t="s">
        <v>10</v>
      </c>
      <c r="L4" s="6" t="s">
        <v>11</v>
      </c>
      <c r="M4" s="4" t="s">
        <v>12</v>
      </c>
      <c r="N4" s="4" t="s">
        <v>13</v>
      </c>
      <c r="O4" s="4" t="s">
        <v>14</v>
      </c>
      <c r="P4" s="7" t="s">
        <v>15</v>
      </c>
      <c r="Q4" s="8" t="s">
        <v>16</v>
      </c>
      <c r="R4" s="1" t="s">
        <v>17</v>
      </c>
      <c r="S4" s="1" t="s">
        <v>18</v>
      </c>
      <c r="T4" s="1" t="s">
        <v>75</v>
      </c>
      <c r="U4" s="7" t="s">
        <v>74</v>
      </c>
      <c r="V4" s="4" t="s">
        <v>19</v>
      </c>
      <c r="W4" s="4" t="s">
        <v>20</v>
      </c>
      <c r="X4" s="9" t="s">
        <v>21</v>
      </c>
      <c r="Y4" s="8" t="s">
        <v>22</v>
      </c>
      <c r="Z4" s="10" t="s">
        <v>23</v>
      </c>
      <c r="AA4" s="11" t="s">
        <v>24</v>
      </c>
      <c r="AB4" s="11" t="s">
        <v>25</v>
      </c>
      <c r="AC4" s="11" t="s">
        <v>26</v>
      </c>
      <c r="AD4" s="11" t="s">
        <v>27</v>
      </c>
      <c r="AE4" s="11" t="s">
        <v>28</v>
      </c>
      <c r="AF4" s="11" t="s">
        <v>29</v>
      </c>
      <c r="AG4" s="12" t="s">
        <v>30</v>
      </c>
    </row>
    <row r="5" spans="1:36" s="13" customFormat="1" ht="24.9" customHeight="1" x14ac:dyDescent="0.25">
      <c r="A5" s="14">
        <f ca="1">+TODAY()</f>
        <v>45963</v>
      </c>
      <c r="B5" s="15">
        <f>+IF(E5&lt;&gt;"",1,0)</f>
        <v>1</v>
      </c>
      <c r="C5" s="15" t="s">
        <v>31</v>
      </c>
      <c r="D5" s="16" t="s">
        <v>32</v>
      </c>
      <c r="E5" s="17" t="s">
        <v>42</v>
      </c>
      <c r="F5" s="18">
        <v>41640</v>
      </c>
      <c r="G5" s="19"/>
      <c r="H5" s="20" t="s">
        <v>76</v>
      </c>
      <c r="I5" s="21" t="s">
        <v>34</v>
      </c>
      <c r="J5" s="22">
        <v>3000000</v>
      </c>
      <c r="K5" s="22">
        <f>+IF(G5=0,0,J5*G5/30)</f>
        <v>0</v>
      </c>
      <c r="L5" s="22">
        <f>+J5-K5</f>
        <v>3000000</v>
      </c>
      <c r="M5" s="22"/>
      <c r="N5" s="22"/>
      <c r="O5" s="22"/>
      <c r="P5" s="23"/>
      <c r="Q5" s="22">
        <f>L5+P5+M5+N5+O5</f>
        <v>3000000</v>
      </c>
      <c r="R5" s="24">
        <f>IF((Q5)*1%&gt;10080,10080,((Q5)*1%))</f>
        <v>10080</v>
      </c>
      <c r="S5" s="24">
        <f>+R5*8</f>
        <v>80640</v>
      </c>
      <c r="T5" s="25">
        <f>+Q5*1%</f>
        <v>30000</v>
      </c>
      <c r="U5" s="25">
        <f>+T5*5</f>
        <v>150000</v>
      </c>
      <c r="V5" s="25">
        <f>+Q5-R5-T5</f>
        <v>2959920</v>
      </c>
      <c r="W5" s="22"/>
      <c r="X5" s="26"/>
      <c r="Y5" s="25">
        <f>+X5*2000</f>
        <v>0</v>
      </c>
      <c r="Z5" s="27">
        <f>+W5-Y5</f>
        <v>0</v>
      </c>
      <c r="AA5" s="27"/>
      <c r="AB5" s="27">
        <f>+R5+T5+Z5+AA5</f>
        <v>40080</v>
      </c>
      <c r="AC5" s="27">
        <f>+Q5-AB5</f>
        <v>2959920</v>
      </c>
      <c r="AD5" s="27">
        <v>100000</v>
      </c>
      <c r="AE5" s="27">
        <f>+AC5-AD5</f>
        <v>2859920</v>
      </c>
      <c r="AF5" s="28"/>
      <c r="AG5" s="29">
        <f>+AE5+AF5</f>
        <v>2859920</v>
      </c>
      <c r="AH5" s="30"/>
      <c r="AJ5" s="30"/>
    </row>
    <row r="6" spans="1:36" s="45" customFormat="1" ht="24.9" customHeight="1" x14ac:dyDescent="0.25">
      <c r="A6" s="14">
        <f ca="1">+TODAY()</f>
        <v>45963</v>
      </c>
      <c r="B6" s="31">
        <f>+IF(E6&lt;&gt;"",1,0)</f>
        <v>1</v>
      </c>
      <c r="C6" s="31" t="s">
        <v>35</v>
      </c>
      <c r="D6" s="32" t="s">
        <v>36</v>
      </c>
      <c r="E6" s="33" t="s">
        <v>43</v>
      </c>
      <c r="F6" s="34">
        <v>41699</v>
      </c>
      <c r="G6" s="35"/>
      <c r="H6" s="36" t="s">
        <v>37</v>
      </c>
      <c r="I6" s="37" t="s">
        <v>38</v>
      </c>
      <c r="J6" s="38">
        <v>250000</v>
      </c>
      <c r="K6" s="38">
        <f>+IF(G6=0,0,G6*'[1]calcul hs'!$D$14)</f>
        <v>0</v>
      </c>
      <c r="L6" s="38">
        <f>+J6-K6</f>
        <v>250000</v>
      </c>
      <c r="M6" s="38"/>
      <c r="N6" s="38"/>
      <c r="O6" s="38"/>
      <c r="P6" s="39">
        <f ca="1">+VLOOKUP(E6,'calcul hs'!$A:$G,7,FALSE)</f>
        <v>23654.301044250846</v>
      </c>
      <c r="Q6" s="22">
        <f ca="1">L6+P6+M6+N6+O6</f>
        <v>273654.30104425084</v>
      </c>
      <c r="R6" s="24">
        <f ca="1">IF((Q6)*1%&gt;10080,10080,((Q6)*1%))</f>
        <v>2736.5430104425086</v>
      </c>
      <c r="S6" s="40">
        <f ca="1">+R6*8</f>
        <v>21892.344083540069</v>
      </c>
      <c r="T6" s="41">
        <f ca="1">+Q6*1%</f>
        <v>2736.5430104425086</v>
      </c>
      <c r="U6" s="41">
        <f ca="1">+T6*5</f>
        <v>13682.715052212543</v>
      </c>
      <c r="V6" s="25">
        <f ca="1">+Q6-R6-T6</f>
        <v>268181.2150233658</v>
      </c>
      <c r="W6" s="22"/>
      <c r="X6" s="42"/>
      <c r="Y6" s="25">
        <f>+X6*2000</f>
        <v>0</v>
      </c>
      <c r="Z6" s="27">
        <f>+W6-Y6</f>
        <v>0</v>
      </c>
      <c r="AA6" s="43"/>
      <c r="AB6" s="43">
        <f ca="1">+R6+T6+Z6+AA6</f>
        <v>5473.0860208850172</v>
      </c>
      <c r="AC6" s="43">
        <f ca="1">+Q6-AB6</f>
        <v>268181.2150233658</v>
      </c>
      <c r="AD6" s="43">
        <v>40000</v>
      </c>
      <c r="AE6" s="43">
        <f ca="1">+AC6-AD6</f>
        <v>228181.2150233658</v>
      </c>
      <c r="AF6" s="44"/>
      <c r="AG6" s="29">
        <f ca="1">+AE6+AF6</f>
        <v>228181.2150233658</v>
      </c>
    </row>
    <row r="7" spans="1:36" s="45" customFormat="1" ht="24.9" customHeight="1" x14ac:dyDescent="0.25">
      <c r="A7" s="84">
        <f ca="1">+TODAY()</f>
        <v>45963</v>
      </c>
      <c r="B7" s="85">
        <f>+IF(E7&lt;&gt;"",1,0)</f>
        <v>1</v>
      </c>
      <c r="C7" s="85" t="s">
        <v>39</v>
      </c>
      <c r="D7" s="86" t="s">
        <v>40</v>
      </c>
      <c r="E7" s="87" t="s">
        <v>44</v>
      </c>
      <c r="F7" s="88">
        <v>38687</v>
      </c>
      <c r="G7" s="89"/>
      <c r="H7" s="90" t="s">
        <v>33</v>
      </c>
      <c r="I7" s="91" t="s">
        <v>41</v>
      </c>
      <c r="J7" s="92">
        <v>300000</v>
      </c>
      <c r="K7" s="92">
        <f>+IF(G7=0,0,J7*G7/30)</f>
        <v>0</v>
      </c>
      <c r="L7" s="92">
        <f>+J7-K7</f>
        <v>300000</v>
      </c>
      <c r="M7" s="92"/>
      <c r="N7" s="92"/>
      <c r="O7" s="92"/>
      <c r="P7" s="93"/>
      <c r="Q7" s="94">
        <f>L7+P7+M7+N7+O7</f>
        <v>300000</v>
      </c>
      <c r="R7" s="24">
        <f>IF((Q7)*1%&gt;10080,10080,((Q7)*1%))</f>
        <v>3000</v>
      </c>
      <c r="S7" s="95">
        <f>+R7*8</f>
        <v>24000</v>
      </c>
      <c r="T7" s="96">
        <f>+Q7*1%</f>
        <v>3000</v>
      </c>
      <c r="U7" s="96">
        <f>+T7*5</f>
        <v>15000</v>
      </c>
      <c r="V7" s="97">
        <f>+Q7-R7-T7</f>
        <v>294000</v>
      </c>
      <c r="W7" s="94"/>
      <c r="X7" s="98"/>
      <c r="Y7" s="97">
        <f>+X7*2000</f>
        <v>0</v>
      </c>
      <c r="Z7" s="99">
        <f>+W7-Y7</f>
        <v>0</v>
      </c>
      <c r="AA7" s="100"/>
      <c r="AB7" s="100">
        <f>+R7+T7+Z7+AA7</f>
        <v>6000</v>
      </c>
      <c r="AC7" s="100">
        <f>+Q7-AB7</f>
        <v>294000</v>
      </c>
      <c r="AD7" s="100"/>
      <c r="AE7" s="100">
        <f>+AC7-AD7</f>
        <v>294000</v>
      </c>
      <c r="AF7" s="101"/>
      <c r="AG7" s="102">
        <f>+AE7+AF7</f>
        <v>294000</v>
      </c>
      <c r="AH7" s="30"/>
      <c r="AI7" s="46"/>
      <c r="AJ7" s="30"/>
    </row>
    <row r="8" spans="1:36" ht="24.9" customHeight="1" x14ac:dyDescent="0.25">
      <c r="A8" s="103"/>
      <c r="B8" s="103"/>
      <c r="C8" s="103"/>
      <c r="D8" s="103"/>
      <c r="E8" s="103"/>
      <c r="F8" s="103"/>
      <c r="G8" s="103"/>
      <c r="H8" s="103"/>
      <c r="I8" s="103"/>
      <c r="J8" s="104">
        <f t="shared" ref="J8:AG8" si="0">SUM(J5:J7)</f>
        <v>3550000</v>
      </c>
      <c r="K8" s="104">
        <f t="shared" si="0"/>
        <v>0</v>
      </c>
      <c r="L8" s="104">
        <f t="shared" si="0"/>
        <v>3550000</v>
      </c>
      <c r="M8" s="104">
        <f t="shared" si="0"/>
        <v>0</v>
      </c>
      <c r="N8" s="104">
        <f t="shared" si="0"/>
        <v>0</v>
      </c>
      <c r="O8" s="104">
        <f t="shared" si="0"/>
        <v>0</v>
      </c>
      <c r="P8" s="104">
        <f t="shared" ca="1" si="0"/>
        <v>23654.301044250846</v>
      </c>
      <c r="Q8" s="104">
        <f t="shared" ca="1" si="0"/>
        <v>3573654.3010442508</v>
      </c>
      <c r="R8" s="104">
        <f t="shared" ca="1" si="0"/>
        <v>15816.543010442509</v>
      </c>
      <c r="S8" s="104">
        <f t="shared" ca="1" si="0"/>
        <v>126532.34408354007</v>
      </c>
      <c r="T8" s="104">
        <f t="shared" ca="1" si="0"/>
        <v>35736.54301044251</v>
      </c>
      <c r="U8" s="104">
        <f t="shared" ca="1" si="0"/>
        <v>178682.71505221253</v>
      </c>
      <c r="V8" s="104">
        <f t="shared" ca="1" si="0"/>
        <v>3522101.2150233658</v>
      </c>
      <c r="W8" s="104">
        <f t="shared" si="0"/>
        <v>0</v>
      </c>
      <c r="X8" s="104">
        <f t="shared" si="0"/>
        <v>0</v>
      </c>
      <c r="Y8" s="104">
        <f t="shared" si="0"/>
        <v>0</v>
      </c>
      <c r="Z8" s="104">
        <f t="shared" si="0"/>
        <v>0</v>
      </c>
      <c r="AA8" s="104">
        <f t="shared" si="0"/>
        <v>0</v>
      </c>
      <c r="AB8" s="104">
        <f t="shared" ca="1" si="0"/>
        <v>51553.086020885021</v>
      </c>
      <c r="AC8" s="104">
        <f t="shared" ca="1" si="0"/>
        <v>3522101.2150233658</v>
      </c>
      <c r="AD8" s="104">
        <f t="shared" si="0"/>
        <v>140000</v>
      </c>
      <c r="AE8" s="104">
        <f t="shared" ca="1" si="0"/>
        <v>3382101.2150233658</v>
      </c>
      <c r="AF8" s="104">
        <f t="shared" si="0"/>
        <v>0</v>
      </c>
      <c r="AG8" s="104">
        <f t="shared" ca="1" si="0"/>
        <v>3382101.2150233658</v>
      </c>
    </row>
    <row r="12" spans="1:36" ht="24.9" customHeight="1" x14ac:dyDescent="0.25">
      <c r="AB12" s="50"/>
    </row>
  </sheetData>
  <sheetProtection password="CA5B" sheet="1" objects="1" scenarios="1"/>
  <protectedRanges>
    <protectedRange password="CA5B" sqref="J8" name="Plage1"/>
  </protectedRanges>
  <printOptions horizontalCentered="1"/>
  <pageMargins left="0.19685039370078741" right="0.15748031496062992" top="0.98425196850393704" bottom="0.98425196850393704" header="0.51181102362204722" footer="0.51181102362204722"/>
  <pageSetup paperSize="9" scale="33" fitToHeight="500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calcul hs</vt:lpstr>
      <vt:lpstr>ETAT DE PAIE</vt:lpstr>
      <vt:lpstr>'calcul hs'!Zone_d_impression</vt:lpstr>
      <vt:lpstr>'ETAT DE PAIE'!Zone_d_impression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Tovohery</dc:creator>
  <cp:lastModifiedBy>ME-PC</cp:lastModifiedBy>
  <dcterms:created xsi:type="dcterms:W3CDTF">2014-07-07T05:19:29Z</dcterms:created>
  <dcterms:modified xsi:type="dcterms:W3CDTF">2025-11-02T15:36:31Z</dcterms:modified>
</cp:coreProperties>
</file>