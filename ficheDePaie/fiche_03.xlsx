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FICHE" sheetId="1" state="visible" r:id="rId1"/>
  </sheets>
  <externalReferences>
    <externalReference r:id="rId2"/>
  </externalReferences>
  <definedNames>
    <definedName name="A.nature">#REF!</definedName>
    <definedName name="Acomptes">#REF!</definedName>
    <definedName name="Acpte">#REF!</definedName>
    <definedName name="Autres">#REF!</definedName>
    <definedName name="Avantages">#REF!</definedName>
    <definedName name="base">#REF!</definedName>
    <definedName name="Brut">#REF!</definedName>
    <definedName name="Calendrier">#REF!</definedName>
    <definedName name="CNaPS">#REF!</definedName>
    <definedName name="LISTE">#REF!</definedName>
    <definedName name="Montant">#REF!</definedName>
    <definedName name="OSTIE">#REF!</definedName>
    <definedName name="_xlnm._FilterDatabase" localSheetId="0" hidden="1">'FICHE'!$H$22:$J$37</definedName>
    <definedName name="_xlnm.Print_Area" localSheetId="0">'FICHE'!$B$2:$K$64</definedName>
  </definedNames>
  <calcPr calcId="162913" fullCalcOnLoad="1"/>
</workbook>
</file>

<file path=xl/styles.xml><?xml version="1.0" encoding="utf-8"?>
<styleSheet xmlns="http://schemas.openxmlformats.org/spreadsheetml/2006/main">
  <numFmts count="13">
    <numFmt numFmtId="164" formatCode="00&quot; jour(s)&quot;"/>
    <numFmt numFmtId="165" formatCode="00&quot; an(s)&quot;"/>
    <numFmt numFmtId="166" formatCode="00&quot; mois&quot;"/>
    <numFmt numFmtId="167" formatCode="&quot;ARRETE AU &quot;dd/mm/yy"/>
    <numFmt numFmtId="168" formatCode="00.0&quot; jour(s)&quot;"/>
    <numFmt numFmtId="169" formatCode="000"/>
    <numFmt numFmtId="170" formatCode="#,##0&quot; FMG&quot;"/>
    <numFmt numFmtId="171" formatCode="#,##0.00&quot; Jour(s)&quot;"/>
    <numFmt numFmtId="172" formatCode="#,##0.00&quot; heure(s)&quot;"/>
    <numFmt numFmtId="173" formatCode="[h]:mm"/>
    <numFmt numFmtId="174" formatCode="&quot;Déduction pour charges de famille : &quot;#,##0"/>
    <numFmt numFmtId="175" formatCode="_-* #,##0.00\ [$€]_-;\-* #,##0.00\ [$€]_-;_-* &quot;-&quot;??\ [$€]_-;_-@_-"/>
    <numFmt numFmtId="176" formatCode="_-* #,##0.00\ _€_-;\-* #,##0.00\ _€_-;_-* &quot;-&quot;??\ _€_-;_-@_-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2"/>
    </font>
    <font>
      <name val="Times New Roman"/>
      <family val="1"/>
      <b val="1"/>
      <sz val="11"/>
    </font>
    <font>
      <name val="Arial"/>
      <family val="2"/>
      <sz val="8"/>
    </font>
    <font>
      <name val="Arial"/>
      <family val="2"/>
      <color indexed="12"/>
      <sz val="10"/>
    </font>
    <font>
      <name val="Arial"/>
      <family val="2"/>
      <b val="1"/>
      <color indexed="10"/>
      <sz val="12"/>
    </font>
    <font>
      <name val="Arial"/>
      <family val="2"/>
      <color indexed="48"/>
      <sz val="10"/>
    </font>
    <font>
      <name val="Arial"/>
      <family val="2"/>
      <sz val="9"/>
    </font>
    <font>
      <name val="Arial"/>
      <family val="2"/>
      <color indexed="48"/>
      <sz val="9"/>
    </font>
    <font>
      <name val="Arial"/>
      <family val="2"/>
      <color indexed="9"/>
      <sz val="9"/>
    </font>
    <font>
      <name val="Arial"/>
      <family val="2"/>
      <b val="1"/>
      <color rgb="FFFF0000"/>
      <sz val="10"/>
    </font>
    <font>
      <name val="Arial"/>
      <family val="2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i val="1"/>
      <sz val="10"/>
    </font>
    <font>
      <name val="Arial"/>
      <family val="2"/>
      <b val="1"/>
      <i val="1"/>
      <color indexed="48"/>
      <sz val="10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b val="1"/>
      <color indexed="48"/>
      <sz val="10"/>
    </font>
    <font>
      <name val="Arial"/>
      <family val="2"/>
      <color rgb="FF1C4895"/>
      <sz val="29"/>
    </font>
    <font>
      <name val="Courier New"/>
      <family val="3"/>
      <color rgb="FF2F4D89"/>
      <sz val="11"/>
    </font>
  </fonts>
  <fills count="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1" fillId="0" borderId="0"/>
    <xf numFmtId="9" fontId="1" fillId="0" borderId="0"/>
    <xf numFmtId="0" fontId="2" fillId="0" borderId="0"/>
    <xf numFmtId="168" fontId="2" fillId="0" borderId="0"/>
    <xf numFmtId="175" fontId="2" fillId="0" borderId="0"/>
    <xf numFmtId="166" fontId="2" fillId="0" borderId="0"/>
    <xf numFmtId="176" fontId="2" fillId="0" borderId="0"/>
    <xf numFmtId="0" fontId="1" fillId="0" borderId="0"/>
    <xf numFmtId="0" fontId="1" fillId="0" borderId="0"/>
  </cellStyleXfs>
  <cellXfs count="179">
    <xf numFmtId="0" fontId="0" fillId="0" borderId="0" pivotButton="0" quotePrefix="0" xfId="0"/>
    <xf numFmtId="0" fontId="2" fillId="2" borderId="0" pivotButton="0" quotePrefix="0" xfId="2"/>
    <xf numFmtId="0" fontId="2" fillId="2" borderId="0" applyAlignment="1" pivotButton="0" quotePrefix="0" xfId="2">
      <alignment horizontal="center"/>
    </xf>
    <xf numFmtId="0" fontId="2" fillId="0" borderId="0" pivotButton="0" quotePrefix="0" xfId="2"/>
    <xf numFmtId="0" fontId="2" fillId="0" borderId="0" applyAlignment="1" pivotButton="0" quotePrefix="0" xfId="2">
      <alignment vertical="center"/>
    </xf>
    <xf numFmtId="0" fontId="2" fillId="2" borderId="0" applyAlignment="1" pivotButton="0" quotePrefix="0" xfId="2">
      <alignment vertical="center"/>
    </xf>
    <xf numFmtId="0" fontId="3" fillId="0" borderId="0" pivotButton="0" quotePrefix="0" xfId="2"/>
    <xf numFmtId="0" fontId="2" fillId="0" borderId="0" pivotButton="0" quotePrefix="0" xfId="2"/>
    <xf numFmtId="43" fontId="4" fillId="0" borderId="0" pivotButton="0" quotePrefix="0" xfId="3"/>
    <xf numFmtId="0" fontId="4" fillId="0" borderId="0" applyAlignment="1" pivotButton="0" quotePrefix="0" xfId="2">
      <alignment horizontal="centerContinuous" vertical="center"/>
    </xf>
    <xf numFmtId="0" fontId="4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Continuous" vertical="center"/>
    </xf>
    <xf numFmtId="43" fontId="6" fillId="0" borderId="0" applyAlignment="1" pivotButton="0" quotePrefix="0" xfId="3">
      <alignment horizontal="left"/>
    </xf>
    <xf numFmtId="0" fontId="7" fillId="0" borderId="0" applyAlignment="1" pivotButton="0" quotePrefix="0" xfId="2">
      <alignment horizontal="right" vertical="center"/>
    </xf>
    <xf numFmtId="0" fontId="2" fillId="0" borderId="0" applyAlignment="1" pivotButton="0" quotePrefix="0" xfId="2">
      <alignment vertical="center"/>
    </xf>
    <xf numFmtId="14" fontId="8" fillId="0" borderId="1" applyAlignment="1" applyProtection="1" pivotButton="0" quotePrefix="0" xfId="2">
      <alignment horizontal="center" vertical="center"/>
      <protection locked="0" hidden="0"/>
    </xf>
    <xf numFmtId="0" fontId="7" fillId="0" borderId="0" applyAlignment="1" pivotButton="0" quotePrefix="0" xfId="2">
      <alignment horizontal="center" vertical="center" wrapText="1"/>
    </xf>
    <xf numFmtId="43" fontId="2" fillId="0" borderId="0" pivotButton="0" quotePrefix="0" xfId="3"/>
    <xf numFmtId="0" fontId="6" fillId="0" borderId="0" applyAlignment="1" pivotButton="0" quotePrefix="0" xfId="2">
      <alignment horizontal="left" vertical="center"/>
    </xf>
    <xf numFmtId="0" fontId="6" fillId="0" borderId="0" applyAlignment="1" pivotButton="0" quotePrefix="0" xfId="2">
      <alignment horizontal="left"/>
    </xf>
    <xf numFmtId="0" fontId="2" fillId="0" borderId="0" applyAlignment="1" pivotButton="0" quotePrefix="0" xfId="2">
      <alignment horizontal="centerContinuous"/>
    </xf>
    <xf numFmtId="0" fontId="2" fillId="0" borderId="0" applyAlignment="1" pivotButton="0" quotePrefix="0" xfId="2">
      <alignment horizontal="centerContinuous" vertical="center"/>
    </xf>
    <xf numFmtId="164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2">
      <alignment horizontal="center" vertical="center"/>
    </xf>
    <xf numFmtId="166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Continuous" vertical="center"/>
    </xf>
    <xf numFmtId="167" fontId="5" fillId="0" borderId="0" applyAlignment="1" pivotButton="0" quotePrefix="0" xfId="2">
      <alignment horizontal="centerContinuous" vertical="center"/>
    </xf>
    <xf numFmtId="0" fontId="2" fillId="0" borderId="0" applyAlignment="1" pivotButton="0" quotePrefix="0" xfId="2">
      <alignment horizontal="centerContinuous" vertical="center"/>
    </xf>
    <xf numFmtId="168" fontId="2" fillId="0" borderId="1" applyAlignment="1" pivotButton="0" quotePrefix="0" xfId="2">
      <alignment horizontal="center" vertical="center"/>
    </xf>
    <xf numFmtId="0" fontId="4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2">
      <alignment horizontal="left" vertical="center" indent="2"/>
    </xf>
    <xf numFmtId="0" fontId="8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169" fontId="8" fillId="0" borderId="0" applyAlignment="1" applyProtection="1" pivotButton="0" quotePrefix="0" xfId="2">
      <alignment horizontal="left" vertical="center"/>
      <protection locked="0" hidden="0"/>
    </xf>
    <xf numFmtId="169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 indent="3"/>
    </xf>
    <xf numFmtId="0" fontId="8" fillId="0" borderId="0" applyAlignment="1" applyProtection="1" pivotButton="0" quotePrefix="0" xfId="2">
      <alignment horizontal="right" vertical="center"/>
      <protection locked="0" hidden="0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/>
    </xf>
    <xf numFmtId="4" fontId="9" fillId="3" borderId="0" applyAlignment="1" applyProtection="1" pivotButton="0" quotePrefix="0" xfId="2">
      <alignment horizontal="right" vertical="center"/>
      <protection locked="0" hidden="0"/>
    </xf>
    <xf numFmtId="4" fontId="10" fillId="0" borderId="1" applyAlignment="1" applyProtection="1" pivotButton="0" quotePrefix="0" xfId="2">
      <alignment horizontal="right" vertical="center"/>
      <protection locked="0" hidden="0"/>
    </xf>
    <xf numFmtId="1" fontId="8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 indent="3"/>
    </xf>
    <xf numFmtId="4" fontId="2" fillId="0" borderId="0" applyAlignment="1" pivotButton="0" quotePrefix="0" xfId="2">
      <alignment horizontal="right" vertical="center"/>
    </xf>
    <xf numFmtId="170" fontId="2" fillId="0" borderId="0" applyAlignment="1" pivotButton="0" quotePrefix="0" xfId="2">
      <alignment horizontal="right" vertical="center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2">
      <alignment horizontal="left" vertical="center" indent="2"/>
    </xf>
    <xf numFmtId="14" fontId="2" fillId="0" borderId="0" applyAlignment="1" pivotButton="0" quotePrefix="0" xfId="2">
      <alignment horizontal="left" vertical="center"/>
    </xf>
    <xf numFmtId="0" fontId="2" fillId="0" borderId="0" applyAlignment="1" applyProtection="1" pivotButton="0" quotePrefix="0" xfId="2">
      <alignment horizontal="left" vertical="center"/>
      <protection locked="0" hidden="0"/>
    </xf>
    <xf numFmtId="0" fontId="2" fillId="0" borderId="0" applyAlignment="1" pivotButton="0" quotePrefix="0" xfId="2">
      <alignment horizontal="left" vertical="center" indent="4"/>
    </xf>
    <xf numFmtId="170" fontId="2" fillId="0" borderId="0" applyAlignment="1" pivotButton="0" quotePrefix="0" xfId="2">
      <alignment horizontal="right" vertical="center"/>
    </xf>
    <xf numFmtId="0" fontId="2" fillId="2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Continuous" vertical="center"/>
    </xf>
    <xf numFmtId="0" fontId="2" fillId="0" borderId="3" applyAlignment="1" pivotButton="0" quotePrefix="0" xfId="2">
      <alignment horizontal="centerContinuous" vertical="center"/>
    </xf>
    <xf numFmtId="0" fontId="2" fillId="0" borderId="4" applyAlignment="1" pivotButton="0" quotePrefix="0" xfId="2">
      <alignment horizontal="centerContinuous" vertical="center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center" vertical="center"/>
    </xf>
    <xf numFmtId="0" fontId="11" fillId="2" borderId="0" applyAlignment="1" pivotButton="0" quotePrefix="0" xfId="2">
      <alignment vertical="center"/>
    </xf>
    <xf numFmtId="0" fontId="11" fillId="0" borderId="0" applyAlignment="1" pivotButton="0" quotePrefix="0" xfId="2">
      <alignment vertical="center"/>
    </xf>
    <xf numFmtId="0" fontId="11" fillId="0" borderId="5" applyAlignment="1" pivotButton="0" quotePrefix="0" xfId="2">
      <alignment vertical="center"/>
    </xf>
    <xf numFmtId="0" fontId="11" fillId="0" borderId="6" applyAlignment="1" applyProtection="1" pivotButton="0" quotePrefix="0" xfId="2">
      <alignment vertical="center"/>
      <protection locked="0" hidden="0"/>
    </xf>
    <xf numFmtId="171" fontId="12" fillId="0" borderId="7" applyAlignment="1" applyProtection="1" pivotButton="0" quotePrefix="0" xfId="2">
      <alignment horizontal="center" vertical="center"/>
      <protection locked="0" hidden="0"/>
    </xf>
    <xf numFmtId="4" fontId="11" fillId="0" borderId="7" applyAlignment="1" pivotButton="0" quotePrefix="0" xfId="2">
      <alignment vertical="center"/>
    </xf>
    <xf numFmtId="3" fontId="11" fillId="0" borderId="0" applyAlignment="1" pivotButton="0" quotePrefix="0" xfId="2">
      <alignment vertical="center"/>
    </xf>
    <xf numFmtId="0" fontId="11" fillId="0" borderId="0" applyAlignment="1" pivotButton="0" quotePrefix="0" xfId="2">
      <alignment horizontal="center" vertical="center"/>
    </xf>
    <xf numFmtId="0" fontId="11" fillId="0" borderId="8" applyAlignment="1" pivotButton="0" quotePrefix="0" xfId="2">
      <alignment vertical="center"/>
    </xf>
    <xf numFmtId="0" fontId="11" fillId="0" borderId="9" applyAlignment="1" pivotButton="0" quotePrefix="0" xfId="2">
      <alignment vertical="center"/>
    </xf>
    <xf numFmtId="171" fontId="12" fillId="0" borderId="10" applyAlignment="1" applyProtection="1" pivotButton="0" quotePrefix="0" xfId="2">
      <alignment horizontal="center" vertical="center"/>
      <protection locked="0" hidden="0"/>
    </xf>
    <xf numFmtId="4" fontId="11" fillId="0" borderId="10" applyAlignment="1" pivotButton="0" quotePrefix="0" xfId="2">
      <alignment vertical="center"/>
    </xf>
    <xf numFmtId="171" fontId="11" fillId="0" borderId="10" applyAlignment="1" pivotButton="0" quotePrefix="0" xfId="2">
      <alignment horizontal="center" vertical="center"/>
    </xf>
    <xf numFmtId="4" fontId="12" fillId="0" borderId="10" applyAlignment="1" pivotButton="0" quotePrefix="0" xfId="2">
      <alignment vertical="center"/>
    </xf>
    <xf numFmtId="4" fontId="12" fillId="0" borderId="10" applyAlignment="1" applyProtection="1" pivotButton="0" quotePrefix="0" xfId="2">
      <alignment vertical="center"/>
      <protection locked="0" hidden="0"/>
    </xf>
    <xf numFmtId="172" fontId="12" fillId="0" borderId="10" applyAlignment="1" applyProtection="1" pivotButton="0" quotePrefix="0" xfId="2">
      <alignment horizontal="center" vertical="center"/>
      <protection locked="0" hidden="0"/>
    </xf>
    <xf numFmtId="173" fontId="13" fillId="0" borderId="0" applyAlignment="1" pivotButton="0" quotePrefix="0" xfId="2">
      <alignment horizontal="left" vertical="center"/>
    </xf>
    <xf numFmtId="171" fontId="11" fillId="0" borderId="10" applyAlignment="1" pivotButton="0" quotePrefix="0" xfId="2">
      <alignment vertical="center"/>
    </xf>
    <xf numFmtId="4" fontId="11" fillId="0" borderId="10" applyAlignment="1" pivotButton="0" quotePrefix="0" xfId="2">
      <alignment horizontal="center" vertical="center"/>
    </xf>
    <xf numFmtId="0" fontId="11" fillId="0" borderId="9" applyAlignment="1" pivotButton="0" quotePrefix="0" xfId="2">
      <alignment horizontal="left" vertical="center" indent="1"/>
    </xf>
    <xf numFmtId="0" fontId="11" fillId="0" borderId="11" applyAlignment="1" pivotButton="0" quotePrefix="0" xfId="2">
      <alignment horizontal="left" vertical="center" indent="1"/>
    </xf>
    <xf numFmtId="0" fontId="11" fillId="0" borderId="12" applyAlignment="1" pivotButton="0" quotePrefix="0" xfId="2">
      <alignment vertical="center"/>
    </xf>
    <xf numFmtId="0" fontId="11" fillId="0" borderId="13" applyAlignment="1" pivotButton="0" quotePrefix="0" xfId="2">
      <alignment vertical="center"/>
    </xf>
    <xf numFmtId="0" fontId="11" fillId="0" borderId="13" applyAlignment="1" pivotButton="0" quotePrefix="0" xfId="2">
      <alignment horizontal="left" vertical="center" indent="1"/>
    </xf>
    <xf numFmtId="0" fontId="11" fillId="0" borderId="14" applyAlignment="1" pivotButton="0" quotePrefix="0" xfId="2">
      <alignment horizontal="left" vertical="center" indent="1"/>
    </xf>
    <xf numFmtId="171" fontId="11" fillId="0" borderId="15" applyAlignment="1" pivotButton="0" quotePrefix="0" xfId="2">
      <alignment horizontal="center" vertical="center"/>
    </xf>
    <xf numFmtId="4" fontId="11" fillId="0" borderId="15" applyAlignment="1" pivotButton="0" quotePrefix="0" xfId="2">
      <alignment vertical="center"/>
    </xf>
    <xf numFmtId="4" fontId="13" fillId="0" borderId="15" applyAlignment="1" applyProtection="1" pivotButton="0" quotePrefix="0" xfId="2">
      <alignment vertical="center"/>
      <protection locked="0" hidden="0"/>
    </xf>
    <xf numFmtId="0" fontId="4" fillId="0" borderId="0" applyAlignment="1" pivotButton="0" quotePrefix="0" xfId="2">
      <alignment horizontal="right" vertical="center"/>
    </xf>
    <xf numFmtId="3" fontId="4" fillId="0" borderId="0" applyAlignment="1" pivotButton="0" quotePrefix="0" xfId="2">
      <alignment horizontal="right" vertical="center"/>
    </xf>
    <xf numFmtId="4" fontId="4" fillId="0" borderId="16" applyAlignment="1" pivotButton="0" quotePrefix="0" xfId="2">
      <alignment vertical="center"/>
    </xf>
    <xf numFmtId="3" fontId="4" fillId="0" borderId="0" applyAlignment="1" pivotButton="0" quotePrefix="0" xfId="2">
      <alignment vertical="center"/>
    </xf>
    <xf numFmtId="4" fontId="2" fillId="0" borderId="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0" fontId="2" fillId="0" borderId="5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2" fillId="0" borderId="6" applyAlignment="1" pivotButton="0" quotePrefix="0" xfId="2">
      <alignment horizontal="left" vertical="center" indent="8"/>
    </xf>
    <xf numFmtId="0" fontId="2" fillId="0" borderId="6" applyAlignment="1" pivotButton="0" quotePrefix="0" xfId="2">
      <alignment vertical="center"/>
    </xf>
    <xf numFmtId="4" fontId="14" fillId="0" borderId="0" applyAlignment="1" pivotButton="0" quotePrefix="0" xfId="2">
      <alignment vertical="center"/>
    </xf>
    <xf numFmtId="0" fontId="2" fillId="0" borderId="8" applyAlignment="1" pivotButton="0" quotePrefix="0" xfId="2">
      <alignment vertical="center"/>
    </xf>
    <xf numFmtId="0" fontId="2" fillId="0" borderId="9" applyAlignment="1" pivotButton="0" quotePrefix="0" xfId="2">
      <alignment vertical="center"/>
    </xf>
    <xf numFmtId="0" fontId="2" fillId="0" borderId="9" applyAlignment="1" pivotButton="0" quotePrefix="0" xfId="2">
      <alignment horizontal="left" vertical="center" indent="8"/>
    </xf>
    <xf numFmtId="0" fontId="2" fillId="0" borderId="9" applyAlignment="1" pivotButton="0" quotePrefix="0" xfId="2">
      <alignment vertical="center"/>
    </xf>
    <xf numFmtId="4" fontId="2" fillId="0" borderId="10" applyAlignment="1" pivotButton="0" quotePrefix="0" xfId="2">
      <alignment vertical="center"/>
    </xf>
    <xf numFmtId="3" fontId="2" fillId="0" borderId="0" applyAlignment="1" pivotButton="0" quotePrefix="0" xfId="2">
      <alignment vertical="center"/>
    </xf>
    <xf numFmtId="4" fontId="10" fillId="0" borderId="10" applyAlignment="1" applyProtection="1" pivotButton="0" quotePrefix="0" xfId="2">
      <alignment vertical="center"/>
      <protection locked="0" hidden="0"/>
    </xf>
    <xf numFmtId="0" fontId="2" fillId="0" borderId="12" applyAlignment="1" pivotButton="0" quotePrefix="0" xfId="2">
      <alignment vertical="center"/>
    </xf>
    <xf numFmtId="0" fontId="2" fillId="0" borderId="13" applyAlignment="1" pivotButton="0" quotePrefix="0" xfId="2">
      <alignment vertical="center"/>
    </xf>
    <xf numFmtId="0" fontId="2" fillId="0" borderId="13" applyAlignment="1" pivotButton="0" quotePrefix="0" xfId="2">
      <alignment horizontal="left" vertical="center" indent="8"/>
    </xf>
    <xf numFmtId="0" fontId="2" fillId="0" borderId="13" applyAlignment="1" pivotButton="0" quotePrefix="0" xfId="2">
      <alignment vertical="center"/>
    </xf>
    <xf numFmtId="4" fontId="10" fillId="0" borderId="15" applyAlignment="1" applyProtection="1" pivotButton="0" quotePrefix="0" xfId="2">
      <alignment vertical="center"/>
      <protection locked="0" hidden="0"/>
    </xf>
    <xf numFmtId="0" fontId="15" fillId="2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right" vertical="center"/>
    </xf>
    <xf numFmtId="4" fontId="2" fillId="0" borderId="1" applyAlignment="1" pivotButton="0" quotePrefix="0" xfId="2">
      <alignment vertical="center"/>
    </xf>
    <xf numFmtId="3" fontId="16" fillId="0" borderId="0" applyAlignment="1" pivotButton="0" quotePrefix="0" xfId="2">
      <alignment vertical="center"/>
    </xf>
    <xf numFmtId="4" fontId="15" fillId="0" borderId="0" applyAlignment="1" pivotButton="0" quotePrefix="0" xfId="2">
      <alignment vertical="center"/>
    </xf>
    <xf numFmtId="3" fontId="4" fillId="0" borderId="0" applyAlignment="1" pivotButton="0" quotePrefix="0" xfId="2">
      <alignment vertical="center"/>
    </xf>
    <xf numFmtId="4" fontId="4" fillId="0" borderId="0" applyAlignment="1" pivotButton="0" quotePrefix="0" xfId="2">
      <alignment vertical="center"/>
    </xf>
    <xf numFmtId="4" fontId="4" fillId="0" borderId="1" applyAlignment="1" pivotButton="0" quotePrefix="0" xfId="2">
      <alignment vertical="center"/>
    </xf>
    <xf numFmtId="0" fontId="2" fillId="0" borderId="17" applyAlignment="1" pivotButton="0" quotePrefix="0" xfId="2">
      <alignment horizontal="left" indent="1"/>
    </xf>
    <xf numFmtId="0" fontId="2" fillId="0" borderId="18" applyAlignment="1" pivotButton="0" quotePrefix="0" xfId="2">
      <alignment horizontal="left" indent="2"/>
    </xf>
    <xf numFmtId="0" fontId="2" fillId="0" borderId="18" pivotButton="0" quotePrefix="0" xfId="2"/>
    <xf numFmtId="3" fontId="10" fillId="0" borderId="19" applyAlignment="1" applyProtection="1" pivotButton="0" quotePrefix="0" xfId="2">
      <alignment horizontal="left" vertical="center"/>
      <protection locked="0" hidden="0"/>
    </xf>
    <xf numFmtId="3" fontId="2" fillId="0" borderId="0" applyAlignment="1" pivotButton="0" quotePrefix="0" xfId="2">
      <alignment horizontal="left" vertical="center"/>
    </xf>
    <xf numFmtId="174" fontId="2" fillId="0" borderId="20" applyAlignment="1" pivotButton="0" quotePrefix="0" xfId="2">
      <alignment horizontal="left" vertical="center" indent="1"/>
    </xf>
    <xf numFmtId="4" fontId="2" fillId="0" borderId="21" applyAlignment="1" pivotButton="0" quotePrefix="0" xfId="2">
      <alignment horizontal="left" vertical="center"/>
    </xf>
    <xf numFmtId="3" fontId="2" fillId="0" borderId="0" applyAlignment="1" pivotButton="0" quotePrefix="0" xfId="2">
      <alignment horizontal="right" vertical="center"/>
    </xf>
    <xf numFmtId="4" fontId="2" fillId="0" borderId="0" applyAlignment="1" pivotButton="0" quotePrefix="0" xfId="2">
      <alignment vertical="center"/>
    </xf>
    <xf numFmtId="0" fontId="2" fillId="0" borderId="22" applyAlignment="1" pivotButton="0" quotePrefix="0" xfId="2">
      <alignment horizontal="left" vertical="center" indent="1"/>
    </xf>
    <xf numFmtId="0" fontId="2" fillId="0" borderId="23" applyAlignment="1" pivotButton="0" quotePrefix="0" xfId="2">
      <alignment vertical="center"/>
    </xf>
    <xf numFmtId="4" fontId="2" fillId="0" borderId="24" applyAlignment="1" pivotButton="0" quotePrefix="0" xfId="2">
      <alignment horizontal="left" vertical="center"/>
    </xf>
    <xf numFmtId="0" fontId="17" fillId="0" borderId="0" applyAlignment="1" pivotButton="0" quotePrefix="0" xfId="2">
      <alignment vertical="center"/>
    </xf>
    <xf numFmtId="0" fontId="17" fillId="0" borderId="0" applyAlignment="1" pivotButton="0" quotePrefix="0" xfId="2">
      <alignment horizontal="left" vertical="center"/>
    </xf>
    <xf numFmtId="0" fontId="17" fillId="0" borderId="0" applyAlignment="1" pivotButton="0" quotePrefix="0" xfId="2">
      <alignment horizontal="right" vertical="center"/>
    </xf>
    <xf numFmtId="0" fontId="18" fillId="0" borderId="0" applyAlignment="1" applyProtection="1" pivotButton="0" quotePrefix="0" xfId="2">
      <alignment horizontal="left" vertical="center"/>
      <protection locked="0" hidden="0"/>
    </xf>
    <xf numFmtId="0" fontId="19" fillId="0" borderId="0" applyAlignment="1" pivotButton="0" quotePrefix="0" xfId="2">
      <alignment horizontal="centerContinuous"/>
    </xf>
    <xf numFmtId="0" fontId="17" fillId="0" borderId="0" applyAlignment="1" pivotButton="0" quotePrefix="0" xfId="2">
      <alignment horizontal="center" vertical="center"/>
    </xf>
    <xf numFmtId="0" fontId="17" fillId="0" borderId="0" applyAlignment="1" pivotButton="0" quotePrefix="0" xfId="2">
      <alignment horizontal="centerContinuous" vertical="center"/>
    </xf>
    <xf numFmtId="0" fontId="17" fillId="0" borderId="0" applyAlignment="1" pivotButton="0" quotePrefix="0" xfId="2">
      <alignment horizontal="center" vertical="center"/>
    </xf>
    <xf numFmtId="3" fontId="2" fillId="0" borderId="0" pivotButton="0" quotePrefix="0" xfId="2"/>
    <xf numFmtId="14" fontId="20" fillId="4" borderId="0" applyAlignment="1" applyProtection="1" pivotButton="0" quotePrefix="0" xfId="2">
      <alignment horizontal="left" vertical="center"/>
      <protection locked="0" hidden="0"/>
    </xf>
    <xf numFmtId="3" fontId="2" fillId="0" borderId="7" applyAlignment="1" pivotButton="0" quotePrefix="0" xfId="2">
      <alignment vertical="center"/>
    </xf>
    <xf numFmtId="3" fontId="2" fillId="0" borderId="10" applyAlignment="1" pivotButton="0" quotePrefix="0" xfId="2">
      <alignment vertical="center"/>
    </xf>
    <xf numFmtId="3" fontId="2" fillId="0" borderId="15" applyAlignment="1" pivotButton="0" quotePrefix="0" xfId="2">
      <alignment vertical="center"/>
    </xf>
    <xf numFmtId="9" fontId="2" fillId="0" borderId="10" applyAlignment="1" pivotButton="0" quotePrefix="0" xfId="1">
      <alignment vertical="center"/>
    </xf>
    <xf numFmtId="0" fontId="4" fillId="0" borderId="9" applyAlignment="1" pivotButton="0" quotePrefix="0" xfId="2">
      <alignment vertical="center"/>
    </xf>
    <xf numFmtId="4" fontId="21" fillId="0" borderId="10" applyAlignment="1" applyProtection="1" pivotButton="0" quotePrefix="0" xfId="2">
      <alignment vertical="center"/>
      <protection locked="0" hidden="0"/>
    </xf>
    <xf numFmtId="4" fontId="2" fillId="0" borderId="7" applyAlignment="1" pivotButton="0" quotePrefix="0" xfId="2">
      <alignment vertical="center"/>
    </xf>
    <xf numFmtId="0" fontId="22" fillId="0" borderId="0" applyAlignment="1" pivotButton="0" quotePrefix="0" xfId="0">
      <alignment horizontal="left" indent="15"/>
    </xf>
    <xf numFmtId="0" fontId="23" fillId="0" borderId="0" applyAlignment="1" pivotButton="0" quotePrefix="0" xfId="0">
      <alignment horizontal="left" indent="3"/>
    </xf>
    <xf numFmtId="43" fontId="4" fillId="0" borderId="0" pivotButton="0" quotePrefix="0" xfId="3"/>
    <xf numFmtId="43" fontId="6" fillId="0" borderId="0" applyAlignment="1" pivotButton="0" quotePrefix="0" xfId="3">
      <alignment horizontal="left"/>
    </xf>
    <xf numFmtId="43" fontId="2" fillId="0" borderId="0" pivotButton="0" quotePrefix="0" xfId="3"/>
    <xf numFmtId="164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2">
      <alignment horizontal="center" vertical="center"/>
    </xf>
    <xf numFmtId="166" fontId="7" fillId="0" borderId="0" applyAlignment="1" pivotButton="0" quotePrefix="0" xfId="2">
      <alignment horizontal="center" vertical="center"/>
    </xf>
    <xf numFmtId="167" fontId="5" fillId="0" borderId="0" applyAlignment="1" pivotButton="0" quotePrefix="0" xfId="2">
      <alignment horizontal="centerContinuous" vertical="center"/>
    </xf>
    <xf numFmtId="168" fontId="2" fillId="0" borderId="1" applyAlignment="1" pivotButton="0" quotePrefix="0" xfId="2">
      <alignment horizontal="center" vertical="center"/>
    </xf>
    <xf numFmtId="169" fontId="8" fillId="0" borderId="0" applyAlignment="1" applyProtection="1" pivotButton="0" quotePrefix="0" xfId="2">
      <alignment horizontal="left" vertical="center"/>
      <protection locked="0" hidden="0"/>
    </xf>
    <xf numFmtId="169" fontId="2" fillId="0" borderId="0" applyAlignment="1" pivotButton="0" quotePrefix="0" xfId="2">
      <alignment horizontal="left" vertical="center"/>
    </xf>
    <xf numFmtId="3" fontId="9" fillId="3" borderId="0" applyAlignment="1" applyProtection="1" pivotButton="0" quotePrefix="0" xfId="2">
      <alignment horizontal="right" vertical="center"/>
      <protection locked="0" hidden="0"/>
    </xf>
    <xf numFmtId="170" fontId="2" fillId="0" borderId="0" applyAlignment="1" pivotButton="0" quotePrefix="0" xfId="2">
      <alignment horizontal="right" vertical="center"/>
    </xf>
    <xf numFmtId="171" fontId="12" fillId="0" borderId="7" applyAlignment="1" applyProtection="1" pivotButton="0" quotePrefix="0" xfId="2">
      <alignment horizontal="center" vertical="center"/>
      <protection locked="0" hidden="0"/>
    </xf>
    <xf numFmtId="171" fontId="12" fillId="0" borderId="10" applyAlignment="1" applyProtection="1" pivotButton="0" quotePrefix="0" xfId="2">
      <alignment horizontal="center" vertical="center"/>
      <protection locked="0" hidden="0"/>
    </xf>
    <xf numFmtId="171" fontId="11" fillId="0" borderId="10" applyAlignment="1" pivotButton="0" quotePrefix="0" xfId="2">
      <alignment horizontal="center" vertical="center"/>
    </xf>
    <xf numFmtId="172" fontId="12" fillId="0" borderId="10" applyAlignment="1" applyProtection="1" pivotButton="0" quotePrefix="0" xfId="2">
      <alignment horizontal="center" vertical="center"/>
      <protection locked="0" hidden="0"/>
    </xf>
    <xf numFmtId="173" fontId="13" fillId="0" borderId="0" applyAlignment="1" pivotButton="0" quotePrefix="0" xfId="2">
      <alignment horizontal="left" vertical="center"/>
    </xf>
    <xf numFmtId="171" fontId="11" fillId="0" borderId="10" applyAlignment="1" pivotButton="0" quotePrefix="0" xfId="2">
      <alignment vertical="center"/>
    </xf>
    <xf numFmtId="171" fontId="11" fillId="0" borderId="15" applyAlignment="1" pivotButton="0" quotePrefix="0" xfId="2">
      <alignment horizontal="center" vertical="center"/>
    </xf>
    <xf numFmtId="3" fontId="10" fillId="0" borderId="10" applyAlignment="1" applyProtection="1" pivotButton="0" quotePrefix="0" xfId="2">
      <alignment vertical="center"/>
      <protection locked="0" hidden="0"/>
    </xf>
    <xf numFmtId="174" fontId="2" fillId="0" borderId="20" applyAlignment="1" pivotButton="0" quotePrefix="0" xfId="2">
      <alignment horizontal="left" vertical="center" indent="1"/>
    </xf>
  </cellXfs>
  <cellStyles count="9">
    <cellStyle name="Normal" xfId="0" builtinId="0"/>
    <cellStyle name="Pourcentage" xfId="1" builtinId="5"/>
    <cellStyle name="Normal 2" xfId="2"/>
    <cellStyle name="Milliers 3 2" xfId="3"/>
    <cellStyle name="Euro" xfId="4"/>
    <cellStyle name="Milliers 3" xfId="5"/>
    <cellStyle name="Milliers 7" xfId="6"/>
    <cellStyle name="Normal 10" xfId="7"/>
    <cellStyle name="Normal 2 11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485775</colOff>
      <row>3</row>
      <rowOff>171450</rowOff>
    </from>
    <to>
      <col>5</col>
      <colOff>1635125</colOff>
      <row>7</row>
      <rowOff>19050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028700" y="771525"/>
          <a:ext cx="2578100" cy="914400"/>
        </a:xfrm>
        <a:prstGeom prst="rect">
          <avLst/>
        </a:prstGeom>
        <a:noFill/>
        <a:ln w="1">
          <a:noFill/>
          <a:prstDash val="solid"/>
          <a:miter lim="800000"/>
          <a:headEnd/>
          <a:tailEnd w="med" len="me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Tovo\Downloads\TP%20EXCEL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 raccourcis"/>
      <sheetName val="2 Formule simple"/>
      <sheetName val="3 Formule avancée"/>
      <sheetName val="4 COMBINAISON FONCTIONS"/>
      <sheetName val="4-1 REFERENCE"/>
      <sheetName val="5 TRI ET FILTRE"/>
      <sheetName val="6 GRAPHIQUE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Mois</v>
          </cell>
          <cell r="C1" t="str">
            <v>NB jour</v>
          </cell>
        </row>
        <row r="2">
          <cell r="B2" t="str">
            <v>01</v>
          </cell>
          <cell r="C2">
            <v>31</v>
          </cell>
        </row>
        <row r="3">
          <cell r="B3" t="str">
            <v>02</v>
          </cell>
          <cell r="C3">
            <v>28</v>
          </cell>
        </row>
        <row r="4">
          <cell r="B4" t="str">
            <v>03</v>
          </cell>
          <cell r="C4">
            <v>31</v>
          </cell>
        </row>
        <row r="5">
          <cell r="B5" t="str">
            <v>04</v>
          </cell>
          <cell r="C5">
            <v>30</v>
          </cell>
        </row>
        <row r="6">
          <cell r="B6" t="str">
            <v>05</v>
          </cell>
          <cell r="C6">
            <v>31</v>
          </cell>
        </row>
        <row r="7">
          <cell r="B7" t="str">
            <v>06</v>
          </cell>
          <cell r="C7">
            <v>30</v>
          </cell>
        </row>
        <row r="8">
          <cell r="B8" t="str">
            <v>07</v>
          </cell>
          <cell r="C8">
            <v>31</v>
          </cell>
        </row>
        <row r="9">
          <cell r="B9" t="str">
            <v>08</v>
          </cell>
          <cell r="C9">
            <v>31</v>
          </cell>
        </row>
        <row r="10">
          <cell r="B10" t="str">
            <v>09</v>
          </cell>
          <cell r="C10">
            <v>30</v>
          </cell>
        </row>
        <row r="11">
          <cell r="B11" t="str">
            <v>10</v>
          </cell>
          <cell r="C11">
            <v>31</v>
          </cell>
        </row>
        <row r="12">
          <cell r="B12" t="str">
            <v>11</v>
          </cell>
          <cell r="C12">
            <v>30</v>
          </cell>
        </row>
        <row r="13">
          <cell r="B13" t="str">
            <v>12</v>
          </cell>
          <cell r="C13">
            <v>31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showGridLines="0" showZeros="0" tabSelected="1" view="pageBreakPreview" topLeftCell="A28" zoomScale="75" zoomScaleNormal="75" zoomScaleSheetLayoutView="75" workbookViewId="0">
      <selection activeCell="J61" sqref="J61"/>
    </sheetView>
  </sheetViews>
  <sheetFormatPr baseColWidth="10" defaultRowHeight="12.75" customHeight="1" zeroHeight="1"/>
  <cols>
    <col width="2.6640625" customWidth="1" style="7" min="1" max="3"/>
    <col width="10.6640625" customWidth="1" style="7" min="4" max="5"/>
    <col width="40.88671875" customWidth="1" style="7" min="6" max="6"/>
    <col width="18.88671875" bestFit="1" customWidth="1" style="7" min="7" max="7"/>
    <col width="20.109375" bestFit="1" customWidth="1" style="7" min="8" max="8"/>
    <col width="9.6640625" customWidth="1" style="7" min="9" max="9"/>
    <col width="20.33203125" bestFit="1" customWidth="1" style="7" min="10" max="10"/>
    <col width="2.6640625" customWidth="1" style="7" min="11" max="11"/>
    <col width="7.5546875" bestFit="1" customWidth="1" style="7" min="12" max="12"/>
    <col width="14" bestFit="1" customWidth="1" style="7" min="13" max="13"/>
    <col width="15" bestFit="1" customWidth="1" style="7" min="14" max="14"/>
    <col width="13.88671875" bestFit="1" customWidth="1" style="7" min="15" max="15"/>
    <col width="12.88671875" bestFit="1" customWidth="1" style="7" min="16" max="16"/>
    <col width="11.44140625" customWidth="1" style="7" min="17" max="17"/>
    <col width="11.44140625" customWidth="1" style="7" min="18" max="18"/>
    <col width="15" customWidth="1" style="7" min="19" max="19"/>
    <col width="12.6640625" customWidth="1" style="7" min="20" max="20"/>
    <col width="10.88671875" customWidth="1" style="7" min="21" max="21"/>
    <col width="11" customWidth="1" style="7" min="22" max="22"/>
    <col width="8.88671875" customWidth="1" style="7" min="23" max="23"/>
    <col width="11.44140625" customWidth="1" style="7" min="24" max="256"/>
    <col width="2.6640625" customWidth="1" style="7" min="257" max="259"/>
    <col width="10.6640625" customWidth="1" style="7" min="260" max="261"/>
    <col width="40.88671875" customWidth="1" style="7" min="262" max="262"/>
    <col width="18.88671875" bestFit="1" customWidth="1" style="7" min="263" max="263"/>
    <col width="13.109375" customWidth="1" style="7" min="264" max="264"/>
    <col width="9.6640625" customWidth="1" style="7" min="265" max="265"/>
    <col width="16.33203125" customWidth="1" style="7" min="266" max="266"/>
    <col width="2.6640625" customWidth="1" style="7" min="267" max="268"/>
    <col width="12.44140625" bestFit="1" customWidth="1" style="7" min="269" max="269"/>
    <col width="15" bestFit="1" customWidth="1" style="7" min="270" max="270"/>
    <col width="13.88671875" bestFit="1" customWidth="1" style="7" min="271" max="271"/>
    <col width="11.5546875" bestFit="1" customWidth="1" style="7" min="272" max="272"/>
    <col width="11.44140625" customWidth="1" style="7" min="273" max="273"/>
    <col hidden="1" style="7" min="274" max="276"/>
    <col width="10.88671875" customWidth="1" style="7" min="277" max="277"/>
    <col width="11" customWidth="1" style="7" min="278" max="278"/>
    <col width="8.88671875" customWidth="1" style="7" min="279" max="279"/>
    <col width="11.44140625" customWidth="1" style="7" min="280" max="512"/>
    <col width="2.6640625" customWidth="1" style="7" min="513" max="515"/>
    <col width="10.6640625" customWidth="1" style="7" min="516" max="517"/>
    <col width="40.88671875" customWidth="1" style="7" min="518" max="518"/>
    <col width="18.88671875" bestFit="1" customWidth="1" style="7" min="519" max="519"/>
    <col width="13.109375" customWidth="1" style="7" min="520" max="520"/>
    <col width="9.6640625" customWidth="1" style="7" min="521" max="521"/>
    <col width="16.33203125" customWidth="1" style="7" min="522" max="522"/>
    <col width="2.6640625" customWidth="1" style="7" min="523" max="524"/>
    <col width="12.44140625" bestFit="1" customWidth="1" style="7" min="525" max="525"/>
    <col width="15" bestFit="1" customWidth="1" style="7" min="526" max="526"/>
    <col width="13.88671875" bestFit="1" customWidth="1" style="7" min="527" max="527"/>
    <col width="11.5546875" bestFit="1" customWidth="1" style="7" min="528" max="528"/>
    <col width="11.44140625" customWidth="1" style="7" min="529" max="529"/>
    <col hidden="1" style="7" min="530" max="532"/>
    <col width="10.88671875" customWidth="1" style="7" min="533" max="533"/>
    <col width="11" customWidth="1" style="7" min="534" max="534"/>
    <col width="8.88671875" customWidth="1" style="7" min="535" max="535"/>
    <col width="11.44140625" customWidth="1" style="7" min="536" max="768"/>
    <col width="2.6640625" customWidth="1" style="7" min="769" max="771"/>
    <col width="10.6640625" customWidth="1" style="7" min="772" max="773"/>
    <col width="40.88671875" customWidth="1" style="7" min="774" max="774"/>
    <col width="18.88671875" bestFit="1" customWidth="1" style="7" min="775" max="775"/>
    <col width="13.109375" customWidth="1" style="7" min="776" max="776"/>
    <col width="9.6640625" customWidth="1" style="7" min="777" max="777"/>
    <col width="16.33203125" customWidth="1" style="7" min="778" max="778"/>
    <col width="2.6640625" customWidth="1" style="7" min="779" max="780"/>
    <col width="12.44140625" bestFit="1" customWidth="1" style="7" min="781" max="781"/>
    <col width="15" bestFit="1" customWidth="1" style="7" min="782" max="782"/>
    <col width="13.88671875" bestFit="1" customWidth="1" style="7" min="783" max="783"/>
    <col width="11.5546875" bestFit="1" customWidth="1" style="7" min="784" max="784"/>
    <col width="11.44140625" customWidth="1" style="7" min="785" max="785"/>
    <col hidden="1" style="7" min="786" max="788"/>
    <col width="10.88671875" customWidth="1" style="7" min="789" max="789"/>
    <col width="11" customWidth="1" style="7" min="790" max="790"/>
    <col width="8.88671875" customWidth="1" style="7" min="791" max="791"/>
    <col width="11.44140625" customWidth="1" style="7" min="792" max="1024"/>
    <col width="2.6640625" customWidth="1" style="7" min="1025" max="1027"/>
    <col width="10.6640625" customWidth="1" style="7" min="1028" max="1029"/>
    <col width="40.88671875" customWidth="1" style="7" min="1030" max="1030"/>
    <col width="18.88671875" bestFit="1" customWidth="1" style="7" min="1031" max="1031"/>
    <col width="13.109375" customWidth="1" style="7" min="1032" max="1032"/>
    <col width="9.6640625" customWidth="1" style="7" min="1033" max="1033"/>
    <col width="16.33203125" customWidth="1" style="7" min="1034" max="1034"/>
    <col width="2.6640625" customWidth="1" style="7" min="1035" max="1036"/>
    <col width="12.44140625" bestFit="1" customWidth="1" style="7" min="1037" max="1037"/>
    <col width="15" bestFit="1" customWidth="1" style="7" min="1038" max="1038"/>
    <col width="13.88671875" bestFit="1" customWidth="1" style="7" min="1039" max="1039"/>
    <col width="11.5546875" bestFit="1" customWidth="1" style="7" min="1040" max="1040"/>
    <col width="11.44140625" customWidth="1" style="7" min="1041" max="1041"/>
    <col hidden="1" style="7" min="1042" max="1044"/>
    <col width="10.88671875" customWidth="1" style="7" min="1045" max="1045"/>
    <col width="11" customWidth="1" style="7" min="1046" max="1046"/>
    <col width="8.88671875" customWidth="1" style="7" min="1047" max="1047"/>
    <col width="11.44140625" customWidth="1" style="7" min="1048" max="1280"/>
    <col width="2.6640625" customWidth="1" style="7" min="1281" max="1283"/>
    <col width="10.6640625" customWidth="1" style="7" min="1284" max="1285"/>
    <col width="40.88671875" customWidth="1" style="7" min="1286" max="1286"/>
    <col width="18.88671875" bestFit="1" customWidth="1" style="7" min="1287" max="1287"/>
    <col width="13.109375" customWidth="1" style="7" min="1288" max="1288"/>
    <col width="9.6640625" customWidth="1" style="7" min="1289" max="1289"/>
    <col width="16.33203125" customWidth="1" style="7" min="1290" max="1290"/>
    <col width="2.6640625" customWidth="1" style="7" min="1291" max="1292"/>
    <col width="12.44140625" bestFit="1" customWidth="1" style="7" min="1293" max="1293"/>
    <col width="15" bestFit="1" customWidth="1" style="7" min="1294" max="1294"/>
    <col width="13.88671875" bestFit="1" customWidth="1" style="7" min="1295" max="1295"/>
    <col width="11.5546875" bestFit="1" customWidth="1" style="7" min="1296" max="1296"/>
    <col width="11.44140625" customWidth="1" style="7" min="1297" max="1297"/>
    <col hidden="1" style="7" min="1298" max="1300"/>
    <col width="10.88671875" customWidth="1" style="7" min="1301" max="1301"/>
    <col width="11" customWidth="1" style="7" min="1302" max="1302"/>
    <col width="8.88671875" customWidth="1" style="7" min="1303" max="1303"/>
    <col width="11.44140625" customWidth="1" style="7" min="1304" max="1536"/>
    <col width="2.6640625" customWidth="1" style="7" min="1537" max="1539"/>
    <col width="10.6640625" customWidth="1" style="7" min="1540" max="1541"/>
    <col width="40.88671875" customWidth="1" style="7" min="1542" max="1542"/>
    <col width="18.88671875" bestFit="1" customWidth="1" style="7" min="1543" max="1543"/>
    <col width="13.109375" customWidth="1" style="7" min="1544" max="1544"/>
    <col width="9.6640625" customWidth="1" style="7" min="1545" max="1545"/>
    <col width="16.33203125" customWidth="1" style="7" min="1546" max="1546"/>
    <col width="2.6640625" customWidth="1" style="7" min="1547" max="1548"/>
    <col width="12.44140625" bestFit="1" customWidth="1" style="7" min="1549" max="1549"/>
    <col width="15" bestFit="1" customWidth="1" style="7" min="1550" max="1550"/>
    <col width="13.88671875" bestFit="1" customWidth="1" style="7" min="1551" max="1551"/>
    <col width="11.5546875" bestFit="1" customWidth="1" style="7" min="1552" max="1552"/>
    <col width="11.44140625" customWidth="1" style="7" min="1553" max="1553"/>
    <col hidden="1" style="7" min="1554" max="1556"/>
    <col width="10.88671875" customWidth="1" style="7" min="1557" max="1557"/>
    <col width="11" customWidth="1" style="7" min="1558" max="1558"/>
    <col width="8.88671875" customWidth="1" style="7" min="1559" max="1559"/>
    <col width="11.44140625" customWidth="1" style="7" min="1560" max="1792"/>
    <col width="2.6640625" customWidth="1" style="7" min="1793" max="1795"/>
    <col width="10.6640625" customWidth="1" style="7" min="1796" max="1797"/>
    <col width="40.88671875" customWidth="1" style="7" min="1798" max="1798"/>
    <col width="18.88671875" bestFit="1" customWidth="1" style="7" min="1799" max="1799"/>
    <col width="13.109375" customWidth="1" style="7" min="1800" max="1800"/>
    <col width="9.6640625" customWidth="1" style="7" min="1801" max="1801"/>
    <col width="16.33203125" customWidth="1" style="7" min="1802" max="1802"/>
    <col width="2.6640625" customWidth="1" style="7" min="1803" max="1804"/>
    <col width="12.44140625" bestFit="1" customWidth="1" style="7" min="1805" max="1805"/>
    <col width="15" bestFit="1" customWidth="1" style="7" min="1806" max="1806"/>
    <col width="13.88671875" bestFit="1" customWidth="1" style="7" min="1807" max="1807"/>
    <col width="11.5546875" bestFit="1" customWidth="1" style="7" min="1808" max="1808"/>
    <col width="11.44140625" customWidth="1" style="7" min="1809" max="1809"/>
    <col hidden="1" style="7" min="1810" max="1812"/>
    <col width="10.88671875" customWidth="1" style="7" min="1813" max="1813"/>
    <col width="11" customWidth="1" style="7" min="1814" max="1814"/>
    <col width="8.88671875" customWidth="1" style="7" min="1815" max="1815"/>
    <col width="11.44140625" customWidth="1" style="7" min="1816" max="2048"/>
    <col width="2.6640625" customWidth="1" style="7" min="2049" max="2051"/>
    <col width="10.6640625" customWidth="1" style="7" min="2052" max="2053"/>
    <col width="40.88671875" customWidth="1" style="7" min="2054" max="2054"/>
    <col width="18.88671875" bestFit="1" customWidth="1" style="7" min="2055" max="2055"/>
    <col width="13.109375" customWidth="1" style="7" min="2056" max="2056"/>
    <col width="9.6640625" customWidth="1" style="7" min="2057" max="2057"/>
    <col width="16.33203125" customWidth="1" style="7" min="2058" max="2058"/>
    <col width="2.6640625" customWidth="1" style="7" min="2059" max="2060"/>
    <col width="12.44140625" bestFit="1" customWidth="1" style="7" min="2061" max="2061"/>
    <col width="15" bestFit="1" customWidth="1" style="7" min="2062" max="2062"/>
    <col width="13.88671875" bestFit="1" customWidth="1" style="7" min="2063" max="2063"/>
    <col width="11.5546875" bestFit="1" customWidth="1" style="7" min="2064" max="2064"/>
    <col width="11.44140625" customWidth="1" style="7" min="2065" max="2065"/>
    <col hidden="1" style="7" min="2066" max="2068"/>
    <col width="10.88671875" customWidth="1" style="7" min="2069" max="2069"/>
    <col width="11" customWidth="1" style="7" min="2070" max="2070"/>
    <col width="8.88671875" customWidth="1" style="7" min="2071" max="2071"/>
    <col width="11.44140625" customWidth="1" style="7" min="2072" max="2304"/>
    <col width="2.6640625" customWidth="1" style="7" min="2305" max="2307"/>
    <col width="10.6640625" customWidth="1" style="7" min="2308" max="2309"/>
    <col width="40.88671875" customWidth="1" style="7" min="2310" max="2310"/>
    <col width="18.88671875" bestFit="1" customWidth="1" style="7" min="2311" max="2311"/>
    <col width="13.109375" customWidth="1" style="7" min="2312" max="2312"/>
    <col width="9.6640625" customWidth="1" style="7" min="2313" max="2313"/>
    <col width="16.33203125" customWidth="1" style="7" min="2314" max="2314"/>
    <col width="2.6640625" customWidth="1" style="7" min="2315" max="2316"/>
    <col width="12.44140625" bestFit="1" customWidth="1" style="7" min="2317" max="2317"/>
    <col width="15" bestFit="1" customWidth="1" style="7" min="2318" max="2318"/>
    <col width="13.88671875" bestFit="1" customWidth="1" style="7" min="2319" max="2319"/>
    <col width="11.5546875" bestFit="1" customWidth="1" style="7" min="2320" max="2320"/>
    <col width="11.44140625" customWidth="1" style="7" min="2321" max="2321"/>
    <col hidden="1" style="7" min="2322" max="2324"/>
    <col width="10.88671875" customWidth="1" style="7" min="2325" max="2325"/>
    <col width="11" customWidth="1" style="7" min="2326" max="2326"/>
    <col width="8.88671875" customWidth="1" style="7" min="2327" max="2327"/>
    <col width="11.44140625" customWidth="1" style="7" min="2328" max="2560"/>
    <col width="2.6640625" customWidth="1" style="7" min="2561" max="2563"/>
    <col width="10.6640625" customWidth="1" style="7" min="2564" max="2565"/>
    <col width="40.88671875" customWidth="1" style="7" min="2566" max="2566"/>
    <col width="18.88671875" bestFit="1" customWidth="1" style="7" min="2567" max="2567"/>
    <col width="13.109375" customWidth="1" style="7" min="2568" max="2568"/>
    <col width="9.6640625" customWidth="1" style="7" min="2569" max="2569"/>
    <col width="16.33203125" customWidth="1" style="7" min="2570" max="2570"/>
    <col width="2.6640625" customWidth="1" style="7" min="2571" max="2572"/>
    <col width="12.44140625" bestFit="1" customWidth="1" style="7" min="2573" max="2573"/>
    <col width="15" bestFit="1" customWidth="1" style="7" min="2574" max="2574"/>
    <col width="13.88671875" bestFit="1" customWidth="1" style="7" min="2575" max="2575"/>
    <col width="11.5546875" bestFit="1" customWidth="1" style="7" min="2576" max="2576"/>
    <col width="11.44140625" customWidth="1" style="7" min="2577" max="2577"/>
    <col hidden="1" style="7" min="2578" max="2580"/>
    <col width="10.88671875" customWidth="1" style="7" min="2581" max="2581"/>
    <col width="11" customWidth="1" style="7" min="2582" max="2582"/>
    <col width="8.88671875" customWidth="1" style="7" min="2583" max="2583"/>
    <col width="11.44140625" customWidth="1" style="7" min="2584" max="2816"/>
    <col width="2.6640625" customWidth="1" style="7" min="2817" max="2819"/>
    <col width="10.6640625" customWidth="1" style="7" min="2820" max="2821"/>
    <col width="40.88671875" customWidth="1" style="7" min="2822" max="2822"/>
    <col width="18.88671875" bestFit="1" customWidth="1" style="7" min="2823" max="2823"/>
    <col width="13.109375" customWidth="1" style="7" min="2824" max="2824"/>
    <col width="9.6640625" customWidth="1" style="7" min="2825" max="2825"/>
    <col width="16.33203125" customWidth="1" style="7" min="2826" max="2826"/>
    <col width="2.6640625" customWidth="1" style="7" min="2827" max="2828"/>
    <col width="12.44140625" bestFit="1" customWidth="1" style="7" min="2829" max="2829"/>
    <col width="15" bestFit="1" customWidth="1" style="7" min="2830" max="2830"/>
    <col width="13.88671875" bestFit="1" customWidth="1" style="7" min="2831" max="2831"/>
    <col width="11.5546875" bestFit="1" customWidth="1" style="7" min="2832" max="2832"/>
    <col width="11.44140625" customWidth="1" style="7" min="2833" max="2833"/>
    <col hidden="1" style="7" min="2834" max="2836"/>
    <col width="10.88671875" customWidth="1" style="7" min="2837" max="2837"/>
    <col width="11" customWidth="1" style="7" min="2838" max="2838"/>
    <col width="8.88671875" customWidth="1" style="7" min="2839" max="2839"/>
    <col width="11.44140625" customWidth="1" style="7" min="2840" max="3072"/>
    <col width="2.6640625" customWidth="1" style="7" min="3073" max="3075"/>
    <col width="10.6640625" customWidth="1" style="7" min="3076" max="3077"/>
    <col width="40.88671875" customWidth="1" style="7" min="3078" max="3078"/>
    <col width="18.88671875" bestFit="1" customWidth="1" style="7" min="3079" max="3079"/>
    <col width="13.109375" customWidth="1" style="7" min="3080" max="3080"/>
    <col width="9.6640625" customWidth="1" style="7" min="3081" max="3081"/>
    <col width="16.33203125" customWidth="1" style="7" min="3082" max="3082"/>
    <col width="2.6640625" customWidth="1" style="7" min="3083" max="3084"/>
    <col width="12.44140625" bestFit="1" customWidth="1" style="7" min="3085" max="3085"/>
    <col width="15" bestFit="1" customWidth="1" style="7" min="3086" max="3086"/>
    <col width="13.88671875" bestFit="1" customWidth="1" style="7" min="3087" max="3087"/>
    <col width="11.5546875" bestFit="1" customWidth="1" style="7" min="3088" max="3088"/>
    <col width="11.44140625" customWidth="1" style="7" min="3089" max="3089"/>
    <col hidden="1" style="7" min="3090" max="3092"/>
    <col width="10.88671875" customWidth="1" style="7" min="3093" max="3093"/>
    <col width="11" customWidth="1" style="7" min="3094" max="3094"/>
    <col width="8.88671875" customWidth="1" style="7" min="3095" max="3095"/>
    <col width="11.44140625" customWidth="1" style="7" min="3096" max="3328"/>
    <col width="2.6640625" customWidth="1" style="7" min="3329" max="3331"/>
    <col width="10.6640625" customWidth="1" style="7" min="3332" max="3333"/>
    <col width="40.88671875" customWidth="1" style="7" min="3334" max="3334"/>
    <col width="18.88671875" bestFit="1" customWidth="1" style="7" min="3335" max="3335"/>
    <col width="13.109375" customWidth="1" style="7" min="3336" max="3336"/>
    <col width="9.6640625" customWidth="1" style="7" min="3337" max="3337"/>
    <col width="16.33203125" customWidth="1" style="7" min="3338" max="3338"/>
    <col width="2.6640625" customWidth="1" style="7" min="3339" max="3340"/>
    <col width="12.44140625" bestFit="1" customWidth="1" style="7" min="3341" max="3341"/>
    <col width="15" bestFit="1" customWidth="1" style="7" min="3342" max="3342"/>
    <col width="13.88671875" bestFit="1" customWidth="1" style="7" min="3343" max="3343"/>
    <col width="11.5546875" bestFit="1" customWidth="1" style="7" min="3344" max="3344"/>
    <col width="11.44140625" customWidth="1" style="7" min="3345" max="3345"/>
    <col hidden="1" style="7" min="3346" max="3348"/>
    <col width="10.88671875" customWidth="1" style="7" min="3349" max="3349"/>
    <col width="11" customWidth="1" style="7" min="3350" max="3350"/>
    <col width="8.88671875" customWidth="1" style="7" min="3351" max="3351"/>
    <col width="11.44140625" customWidth="1" style="7" min="3352" max="3584"/>
    <col width="2.6640625" customWidth="1" style="7" min="3585" max="3587"/>
    <col width="10.6640625" customWidth="1" style="7" min="3588" max="3589"/>
    <col width="40.88671875" customWidth="1" style="7" min="3590" max="3590"/>
    <col width="18.88671875" bestFit="1" customWidth="1" style="7" min="3591" max="3591"/>
    <col width="13.109375" customWidth="1" style="7" min="3592" max="3592"/>
    <col width="9.6640625" customWidth="1" style="7" min="3593" max="3593"/>
    <col width="16.33203125" customWidth="1" style="7" min="3594" max="3594"/>
    <col width="2.6640625" customWidth="1" style="7" min="3595" max="3596"/>
    <col width="12.44140625" bestFit="1" customWidth="1" style="7" min="3597" max="3597"/>
    <col width="15" bestFit="1" customWidth="1" style="7" min="3598" max="3598"/>
    <col width="13.88671875" bestFit="1" customWidth="1" style="7" min="3599" max="3599"/>
    <col width="11.5546875" bestFit="1" customWidth="1" style="7" min="3600" max="3600"/>
    <col width="11.44140625" customWidth="1" style="7" min="3601" max="3601"/>
    <col hidden="1" style="7" min="3602" max="3604"/>
    <col width="10.88671875" customWidth="1" style="7" min="3605" max="3605"/>
    <col width="11" customWidth="1" style="7" min="3606" max="3606"/>
    <col width="8.88671875" customWidth="1" style="7" min="3607" max="3607"/>
    <col width="11.44140625" customWidth="1" style="7" min="3608" max="3840"/>
    <col width="2.6640625" customWidth="1" style="7" min="3841" max="3843"/>
    <col width="10.6640625" customWidth="1" style="7" min="3844" max="3845"/>
    <col width="40.88671875" customWidth="1" style="7" min="3846" max="3846"/>
    <col width="18.88671875" bestFit="1" customWidth="1" style="7" min="3847" max="3847"/>
    <col width="13.109375" customWidth="1" style="7" min="3848" max="3848"/>
    <col width="9.6640625" customWidth="1" style="7" min="3849" max="3849"/>
    <col width="16.33203125" customWidth="1" style="7" min="3850" max="3850"/>
    <col width="2.6640625" customWidth="1" style="7" min="3851" max="3852"/>
    <col width="12.44140625" bestFit="1" customWidth="1" style="7" min="3853" max="3853"/>
    <col width="15" bestFit="1" customWidth="1" style="7" min="3854" max="3854"/>
    <col width="13.88671875" bestFit="1" customWidth="1" style="7" min="3855" max="3855"/>
    <col width="11.5546875" bestFit="1" customWidth="1" style="7" min="3856" max="3856"/>
    <col width="11.44140625" customWidth="1" style="7" min="3857" max="3857"/>
    <col hidden="1" style="7" min="3858" max="3860"/>
    <col width="10.88671875" customWidth="1" style="7" min="3861" max="3861"/>
    <col width="11" customWidth="1" style="7" min="3862" max="3862"/>
    <col width="8.88671875" customWidth="1" style="7" min="3863" max="3863"/>
    <col width="11.44140625" customWidth="1" style="7" min="3864" max="4096"/>
    <col width="2.6640625" customWidth="1" style="7" min="4097" max="4099"/>
    <col width="10.6640625" customWidth="1" style="7" min="4100" max="4101"/>
    <col width="40.88671875" customWidth="1" style="7" min="4102" max="4102"/>
    <col width="18.88671875" bestFit="1" customWidth="1" style="7" min="4103" max="4103"/>
    <col width="13.109375" customWidth="1" style="7" min="4104" max="4104"/>
    <col width="9.6640625" customWidth="1" style="7" min="4105" max="4105"/>
    <col width="16.33203125" customWidth="1" style="7" min="4106" max="4106"/>
    <col width="2.6640625" customWidth="1" style="7" min="4107" max="4108"/>
    <col width="12.44140625" bestFit="1" customWidth="1" style="7" min="4109" max="4109"/>
    <col width="15" bestFit="1" customWidth="1" style="7" min="4110" max="4110"/>
    <col width="13.88671875" bestFit="1" customWidth="1" style="7" min="4111" max="4111"/>
    <col width="11.5546875" bestFit="1" customWidth="1" style="7" min="4112" max="4112"/>
    <col width="11.44140625" customWidth="1" style="7" min="4113" max="4113"/>
    <col hidden="1" style="7" min="4114" max="4116"/>
    <col width="10.88671875" customWidth="1" style="7" min="4117" max="4117"/>
    <col width="11" customWidth="1" style="7" min="4118" max="4118"/>
    <col width="8.88671875" customWidth="1" style="7" min="4119" max="4119"/>
    <col width="11.44140625" customWidth="1" style="7" min="4120" max="4352"/>
    <col width="2.6640625" customWidth="1" style="7" min="4353" max="4355"/>
    <col width="10.6640625" customWidth="1" style="7" min="4356" max="4357"/>
    <col width="40.88671875" customWidth="1" style="7" min="4358" max="4358"/>
    <col width="18.88671875" bestFit="1" customWidth="1" style="7" min="4359" max="4359"/>
    <col width="13.109375" customWidth="1" style="7" min="4360" max="4360"/>
    <col width="9.6640625" customWidth="1" style="7" min="4361" max="4361"/>
    <col width="16.33203125" customWidth="1" style="7" min="4362" max="4362"/>
    <col width="2.6640625" customWidth="1" style="7" min="4363" max="4364"/>
    <col width="12.44140625" bestFit="1" customWidth="1" style="7" min="4365" max="4365"/>
    <col width="15" bestFit="1" customWidth="1" style="7" min="4366" max="4366"/>
    <col width="13.88671875" bestFit="1" customWidth="1" style="7" min="4367" max="4367"/>
    <col width="11.5546875" bestFit="1" customWidth="1" style="7" min="4368" max="4368"/>
    <col width="11.44140625" customWidth="1" style="7" min="4369" max="4369"/>
    <col hidden="1" style="7" min="4370" max="4372"/>
    <col width="10.88671875" customWidth="1" style="7" min="4373" max="4373"/>
    <col width="11" customWidth="1" style="7" min="4374" max="4374"/>
    <col width="8.88671875" customWidth="1" style="7" min="4375" max="4375"/>
    <col width="11.44140625" customWidth="1" style="7" min="4376" max="4608"/>
    <col width="2.6640625" customWidth="1" style="7" min="4609" max="4611"/>
    <col width="10.6640625" customWidth="1" style="7" min="4612" max="4613"/>
    <col width="40.88671875" customWidth="1" style="7" min="4614" max="4614"/>
    <col width="18.88671875" bestFit="1" customWidth="1" style="7" min="4615" max="4615"/>
    <col width="13.109375" customWidth="1" style="7" min="4616" max="4616"/>
    <col width="9.6640625" customWidth="1" style="7" min="4617" max="4617"/>
    <col width="16.33203125" customWidth="1" style="7" min="4618" max="4618"/>
    <col width="2.6640625" customWidth="1" style="7" min="4619" max="4620"/>
    <col width="12.44140625" bestFit="1" customWidth="1" style="7" min="4621" max="4621"/>
    <col width="15" bestFit="1" customWidth="1" style="7" min="4622" max="4622"/>
    <col width="13.88671875" bestFit="1" customWidth="1" style="7" min="4623" max="4623"/>
    <col width="11.5546875" bestFit="1" customWidth="1" style="7" min="4624" max="4624"/>
    <col width="11.44140625" customWidth="1" style="7" min="4625" max="4625"/>
    <col hidden="1" style="7" min="4626" max="4628"/>
    <col width="10.88671875" customWidth="1" style="7" min="4629" max="4629"/>
    <col width="11" customWidth="1" style="7" min="4630" max="4630"/>
    <col width="8.88671875" customWidth="1" style="7" min="4631" max="4631"/>
    <col width="11.44140625" customWidth="1" style="7" min="4632" max="4864"/>
    <col width="2.6640625" customWidth="1" style="7" min="4865" max="4867"/>
    <col width="10.6640625" customWidth="1" style="7" min="4868" max="4869"/>
    <col width="40.88671875" customWidth="1" style="7" min="4870" max="4870"/>
    <col width="18.88671875" bestFit="1" customWidth="1" style="7" min="4871" max="4871"/>
    <col width="13.109375" customWidth="1" style="7" min="4872" max="4872"/>
    <col width="9.6640625" customWidth="1" style="7" min="4873" max="4873"/>
    <col width="16.33203125" customWidth="1" style="7" min="4874" max="4874"/>
    <col width="2.6640625" customWidth="1" style="7" min="4875" max="4876"/>
    <col width="12.44140625" bestFit="1" customWidth="1" style="7" min="4877" max="4877"/>
    <col width="15" bestFit="1" customWidth="1" style="7" min="4878" max="4878"/>
    <col width="13.88671875" bestFit="1" customWidth="1" style="7" min="4879" max="4879"/>
    <col width="11.5546875" bestFit="1" customWidth="1" style="7" min="4880" max="4880"/>
    <col width="11.44140625" customWidth="1" style="7" min="4881" max="4881"/>
    <col hidden="1" style="7" min="4882" max="4884"/>
    <col width="10.88671875" customWidth="1" style="7" min="4885" max="4885"/>
    <col width="11" customWidth="1" style="7" min="4886" max="4886"/>
    <col width="8.88671875" customWidth="1" style="7" min="4887" max="4887"/>
    <col width="11.44140625" customWidth="1" style="7" min="4888" max="5120"/>
    <col width="2.6640625" customWidth="1" style="7" min="5121" max="5123"/>
    <col width="10.6640625" customWidth="1" style="7" min="5124" max="5125"/>
    <col width="40.88671875" customWidth="1" style="7" min="5126" max="5126"/>
    <col width="18.88671875" bestFit="1" customWidth="1" style="7" min="5127" max="5127"/>
    <col width="13.109375" customWidth="1" style="7" min="5128" max="5128"/>
    <col width="9.6640625" customWidth="1" style="7" min="5129" max="5129"/>
    <col width="16.33203125" customWidth="1" style="7" min="5130" max="5130"/>
    <col width="2.6640625" customWidth="1" style="7" min="5131" max="5132"/>
    <col width="12.44140625" bestFit="1" customWidth="1" style="7" min="5133" max="5133"/>
    <col width="15" bestFit="1" customWidth="1" style="7" min="5134" max="5134"/>
    <col width="13.88671875" bestFit="1" customWidth="1" style="7" min="5135" max="5135"/>
    <col width="11.5546875" bestFit="1" customWidth="1" style="7" min="5136" max="5136"/>
    <col width="11.44140625" customWidth="1" style="7" min="5137" max="5137"/>
    <col hidden="1" style="7" min="5138" max="5140"/>
    <col width="10.88671875" customWidth="1" style="7" min="5141" max="5141"/>
    <col width="11" customWidth="1" style="7" min="5142" max="5142"/>
    <col width="8.88671875" customWidth="1" style="7" min="5143" max="5143"/>
    <col width="11.44140625" customWidth="1" style="7" min="5144" max="5376"/>
    <col width="2.6640625" customWidth="1" style="7" min="5377" max="5379"/>
    <col width="10.6640625" customWidth="1" style="7" min="5380" max="5381"/>
    <col width="40.88671875" customWidth="1" style="7" min="5382" max="5382"/>
    <col width="18.88671875" bestFit="1" customWidth="1" style="7" min="5383" max="5383"/>
    <col width="13.109375" customWidth="1" style="7" min="5384" max="5384"/>
    <col width="9.6640625" customWidth="1" style="7" min="5385" max="5385"/>
    <col width="16.33203125" customWidth="1" style="7" min="5386" max="5386"/>
    <col width="2.6640625" customWidth="1" style="7" min="5387" max="5388"/>
    <col width="12.44140625" bestFit="1" customWidth="1" style="7" min="5389" max="5389"/>
    <col width="15" bestFit="1" customWidth="1" style="7" min="5390" max="5390"/>
    <col width="13.88671875" bestFit="1" customWidth="1" style="7" min="5391" max="5391"/>
    <col width="11.5546875" bestFit="1" customWidth="1" style="7" min="5392" max="5392"/>
    <col width="11.44140625" customWidth="1" style="7" min="5393" max="5393"/>
    <col hidden="1" style="7" min="5394" max="5396"/>
    <col width="10.88671875" customWidth="1" style="7" min="5397" max="5397"/>
    <col width="11" customWidth="1" style="7" min="5398" max="5398"/>
    <col width="8.88671875" customWidth="1" style="7" min="5399" max="5399"/>
    <col width="11.44140625" customWidth="1" style="7" min="5400" max="5632"/>
    <col width="2.6640625" customWidth="1" style="7" min="5633" max="5635"/>
    <col width="10.6640625" customWidth="1" style="7" min="5636" max="5637"/>
    <col width="40.88671875" customWidth="1" style="7" min="5638" max="5638"/>
    <col width="18.88671875" bestFit="1" customWidth="1" style="7" min="5639" max="5639"/>
    <col width="13.109375" customWidth="1" style="7" min="5640" max="5640"/>
    <col width="9.6640625" customWidth="1" style="7" min="5641" max="5641"/>
    <col width="16.33203125" customWidth="1" style="7" min="5642" max="5642"/>
    <col width="2.6640625" customWidth="1" style="7" min="5643" max="5644"/>
    <col width="12.44140625" bestFit="1" customWidth="1" style="7" min="5645" max="5645"/>
    <col width="15" bestFit="1" customWidth="1" style="7" min="5646" max="5646"/>
    <col width="13.88671875" bestFit="1" customWidth="1" style="7" min="5647" max="5647"/>
    <col width="11.5546875" bestFit="1" customWidth="1" style="7" min="5648" max="5648"/>
    <col width="11.44140625" customWidth="1" style="7" min="5649" max="5649"/>
    <col hidden="1" style="7" min="5650" max="5652"/>
    <col width="10.88671875" customWidth="1" style="7" min="5653" max="5653"/>
    <col width="11" customWidth="1" style="7" min="5654" max="5654"/>
    <col width="8.88671875" customWidth="1" style="7" min="5655" max="5655"/>
    <col width="11.44140625" customWidth="1" style="7" min="5656" max="5888"/>
    <col width="2.6640625" customWidth="1" style="7" min="5889" max="5891"/>
    <col width="10.6640625" customWidth="1" style="7" min="5892" max="5893"/>
    <col width="40.88671875" customWidth="1" style="7" min="5894" max="5894"/>
    <col width="18.88671875" bestFit="1" customWidth="1" style="7" min="5895" max="5895"/>
    <col width="13.109375" customWidth="1" style="7" min="5896" max="5896"/>
    <col width="9.6640625" customWidth="1" style="7" min="5897" max="5897"/>
    <col width="16.33203125" customWidth="1" style="7" min="5898" max="5898"/>
    <col width="2.6640625" customWidth="1" style="7" min="5899" max="5900"/>
    <col width="12.44140625" bestFit="1" customWidth="1" style="7" min="5901" max="5901"/>
    <col width="15" bestFit="1" customWidth="1" style="7" min="5902" max="5902"/>
    <col width="13.88671875" bestFit="1" customWidth="1" style="7" min="5903" max="5903"/>
    <col width="11.5546875" bestFit="1" customWidth="1" style="7" min="5904" max="5904"/>
    <col width="11.44140625" customWidth="1" style="7" min="5905" max="5905"/>
    <col hidden="1" style="7" min="5906" max="5908"/>
    <col width="10.88671875" customWidth="1" style="7" min="5909" max="5909"/>
    <col width="11" customWidth="1" style="7" min="5910" max="5910"/>
    <col width="8.88671875" customWidth="1" style="7" min="5911" max="5911"/>
    <col width="11.44140625" customWidth="1" style="7" min="5912" max="6144"/>
    <col width="2.6640625" customWidth="1" style="7" min="6145" max="6147"/>
    <col width="10.6640625" customWidth="1" style="7" min="6148" max="6149"/>
    <col width="40.88671875" customWidth="1" style="7" min="6150" max="6150"/>
    <col width="18.88671875" bestFit="1" customWidth="1" style="7" min="6151" max="6151"/>
    <col width="13.109375" customWidth="1" style="7" min="6152" max="6152"/>
    <col width="9.6640625" customWidth="1" style="7" min="6153" max="6153"/>
    <col width="16.33203125" customWidth="1" style="7" min="6154" max="6154"/>
    <col width="2.6640625" customWidth="1" style="7" min="6155" max="6156"/>
    <col width="12.44140625" bestFit="1" customWidth="1" style="7" min="6157" max="6157"/>
    <col width="15" bestFit="1" customWidth="1" style="7" min="6158" max="6158"/>
    <col width="13.88671875" bestFit="1" customWidth="1" style="7" min="6159" max="6159"/>
    <col width="11.5546875" bestFit="1" customWidth="1" style="7" min="6160" max="6160"/>
    <col width="11.44140625" customWidth="1" style="7" min="6161" max="6161"/>
    <col hidden="1" style="7" min="6162" max="6164"/>
    <col width="10.88671875" customWidth="1" style="7" min="6165" max="6165"/>
    <col width="11" customWidth="1" style="7" min="6166" max="6166"/>
    <col width="8.88671875" customWidth="1" style="7" min="6167" max="6167"/>
    <col width="11.44140625" customWidth="1" style="7" min="6168" max="6400"/>
    <col width="2.6640625" customWidth="1" style="7" min="6401" max="6403"/>
    <col width="10.6640625" customWidth="1" style="7" min="6404" max="6405"/>
    <col width="40.88671875" customWidth="1" style="7" min="6406" max="6406"/>
    <col width="18.88671875" bestFit="1" customWidth="1" style="7" min="6407" max="6407"/>
    <col width="13.109375" customWidth="1" style="7" min="6408" max="6408"/>
    <col width="9.6640625" customWidth="1" style="7" min="6409" max="6409"/>
    <col width="16.33203125" customWidth="1" style="7" min="6410" max="6410"/>
    <col width="2.6640625" customWidth="1" style="7" min="6411" max="6412"/>
    <col width="12.44140625" bestFit="1" customWidth="1" style="7" min="6413" max="6413"/>
    <col width="15" bestFit="1" customWidth="1" style="7" min="6414" max="6414"/>
    <col width="13.88671875" bestFit="1" customWidth="1" style="7" min="6415" max="6415"/>
    <col width="11.5546875" bestFit="1" customWidth="1" style="7" min="6416" max="6416"/>
    <col width="11.44140625" customWidth="1" style="7" min="6417" max="6417"/>
    <col hidden="1" style="7" min="6418" max="6420"/>
    <col width="10.88671875" customWidth="1" style="7" min="6421" max="6421"/>
    <col width="11" customWidth="1" style="7" min="6422" max="6422"/>
    <col width="8.88671875" customWidth="1" style="7" min="6423" max="6423"/>
    <col width="11.44140625" customWidth="1" style="7" min="6424" max="6656"/>
    <col width="2.6640625" customWidth="1" style="7" min="6657" max="6659"/>
    <col width="10.6640625" customWidth="1" style="7" min="6660" max="6661"/>
    <col width="40.88671875" customWidth="1" style="7" min="6662" max="6662"/>
    <col width="18.88671875" bestFit="1" customWidth="1" style="7" min="6663" max="6663"/>
    <col width="13.109375" customWidth="1" style="7" min="6664" max="6664"/>
    <col width="9.6640625" customWidth="1" style="7" min="6665" max="6665"/>
    <col width="16.33203125" customWidth="1" style="7" min="6666" max="6666"/>
    <col width="2.6640625" customWidth="1" style="7" min="6667" max="6668"/>
    <col width="12.44140625" bestFit="1" customWidth="1" style="7" min="6669" max="6669"/>
    <col width="15" bestFit="1" customWidth="1" style="7" min="6670" max="6670"/>
    <col width="13.88671875" bestFit="1" customWidth="1" style="7" min="6671" max="6671"/>
    <col width="11.5546875" bestFit="1" customWidth="1" style="7" min="6672" max="6672"/>
    <col width="11.44140625" customWidth="1" style="7" min="6673" max="6673"/>
    <col hidden="1" style="7" min="6674" max="6676"/>
    <col width="10.88671875" customWidth="1" style="7" min="6677" max="6677"/>
    <col width="11" customWidth="1" style="7" min="6678" max="6678"/>
    <col width="8.88671875" customWidth="1" style="7" min="6679" max="6679"/>
    <col width="11.44140625" customWidth="1" style="7" min="6680" max="6912"/>
    <col width="2.6640625" customWidth="1" style="7" min="6913" max="6915"/>
    <col width="10.6640625" customWidth="1" style="7" min="6916" max="6917"/>
    <col width="40.88671875" customWidth="1" style="7" min="6918" max="6918"/>
    <col width="18.88671875" bestFit="1" customWidth="1" style="7" min="6919" max="6919"/>
    <col width="13.109375" customWidth="1" style="7" min="6920" max="6920"/>
    <col width="9.6640625" customWidth="1" style="7" min="6921" max="6921"/>
    <col width="16.33203125" customWidth="1" style="7" min="6922" max="6922"/>
    <col width="2.6640625" customWidth="1" style="7" min="6923" max="6924"/>
    <col width="12.44140625" bestFit="1" customWidth="1" style="7" min="6925" max="6925"/>
    <col width="15" bestFit="1" customWidth="1" style="7" min="6926" max="6926"/>
    <col width="13.88671875" bestFit="1" customWidth="1" style="7" min="6927" max="6927"/>
    <col width="11.5546875" bestFit="1" customWidth="1" style="7" min="6928" max="6928"/>
    <col width="11.44140625" customWidth="1" style="7" min="6929" max="6929"/>
    <col hidden="1" style="7" min="6930" max="6932"/>
    <col width="10.88671875" customWidth="1" style="7" min="6933" max="6933"/>
    <col width="11" customWidth="1" style="7" min="6934" max="6934"/>
    <col width="8.88671875" customWidth="1" style="7" min="6935" max="6935"/>
    <col width="11.44140625" customWidth="1" style="7" min="6936" max="7168"/>
    <col width="2.6640625" customWidth="1" style="7" min="7169" max="7171"/>
    <col width="10.6640625" customWidth="1" style="7" min="7172" max="7173"/>
    <col width="40.88671875" customWidth="1" style="7" min="7174" max="7174"/>
    <col width="18.88671875" bestFit="1" customWidth="1" style="7" min="7175" max="7175"/>
    <col width="13.109375" customWidth="1" style="7" min="7176" max="7176"/>
    <col width="9.6640625" customWidth="1" style="7" min="7177" max="7177"/>
    <col width="16.33203125" customWidth="1" style="7" min="7178" max="7178"/>
    <col width="2.6640625" customWidth="1" style="7" min="7179" max="7180"/>
    <col width="12.44140625" bestFit="1" customWidth="1" style="7" min="7181" max="7181"/>
    <col width="15" bestFit="1" customWidth="1" style="7" min="7182" max="7182"/>
    <col width="13.88671875" bestFit="1" customWidth="1" style="7" min="7183" max="7183"/>
    <col width="11.5546875" bestFit="1" customWidth="1" style="7" min="7184" max="7184"/>
    <col width="11.44140625" customWidth="1" style="7" min="7185" max="7185"/>
    <col hidden="1" style="7" min="7186" max="7188"/>
    <col width="10.88671875" customWidth="1" style="7" min="7189" max="7189"/>
    <col width="11" customWidth="1" style="7" min="7190" max="7190"/>
    <col width="8.88671875" customWidth="1" style="7" min="7191" max="7191"/>
    <col width="11.44140625" customWidth="1" style="7" min="7192" max="7424"/>
    <col width="2.6640625" customWidth="1" style="7" min="7425" max="7427"/>
    <col width="10.6640625" customWidth="1" style="7" min="7428" max="7429"/>
    <col width="40.88671875" customWidth="1" style="7" min="7430" max="7430"/>
    <col width="18.88671875" bestFit="1" customWidth="1" style="7" min="7431" max="7431"/>
    <col width="13.109375" customWidth="1" style="7" min="7432" max="7432"/>
    <col width="9.6640625" customWidth="1" style="7" min="7433" max="7433"/>
    <col width="16.33203125" customWidth="1" style="7" min="7434" max="7434"/>
    <col width="2.6640625" customWidth="1" style="7" min="7435" max="7436"/>
    <col width="12.44140625" bestFit="1" customWidth="1" style="7" min="7437" max="7437"/>
    <col width="15" bestFit="1" customWidth="1" style="7" min="7438" max="7438"/>
    <col width="13.88671875" bestFit="1" customWidth="1" style="7" min="7439" max="7439"/>
    <col width="11.5546875" bestFit="1" customWidth="1" style="7" min="7440" max="7440"/>
    <col width="11.44140625" customWidth="1" style="7" min="7441" max="7441"/>
    <col hidden="1" style="7" min="7442" max="7444"/>
    <col width="10.88671875" customWidth="1" style="7" min="7445" max="7445"/>
    <col width="11" customWidth="1" style="7" min="7446" max="7446"/>
    <col width="8.88671875" customWidth="1" style="7" min="7447" max="7447"/>
    <col width="11.44140625" customWidth="1" style="7" min="7448" max="7680"/>
    <col width="2.6640625" customWidth="1" style="7" min="7681" max="7683"/>
    <col width="10.6640625" customWidth="1" style="7" min="7684" max="7685"/>
    <col width="40.88671875" customWidth="1" style="7" min="7686" max="7686"/>
    <col width="18.88671875" bestFit="1" customWidth="1" style="7" min="7687" max="7687"/>
    <col width="13.109375" customWidth="1" style="7" min="7688" max="7688"/>
    <col width="9.6640625" customWidth="1" style="7" min="7689" max="7689"/>
    <col width="16.33203125" customWidth="1" style="7" min="7690" max="7690"/>
    <col width="2.6640625" customWidth="1" style="7" min="7691" max="7692"/>
    <col width="12.44140625" bestFit="1" customWidth="1" style="7" min="7693" max="7693"/>
    <col width="15" bestFit="1" customWidth="1" style="7" min="7694" max="7694"/>
    <col width="13.88671875" bestFit="1" customWidth="1" style="7" min="7695" max="7695"/>
    <col width="11.5546875" bestFit="1" customWidth="1" style="7" min="7696" max="7696"/>
    <col width="11.44140625" customWidth="1" style="7" min="7697" max="7697"/>
    <col hidden="1" style="7" min="7698" max="7700"/>
    <col width="10.88671875" customWidth="1" style="7" min="7701" max="7701"/>
    <col width="11" customWidth="1" style="7" min="7702" max="7702"/>
    <col width="8.88671875" customWidth="1" style="7" min="7703" max="7703"/>
    <col width="11.44140625" customWidth="1" style="7" min="7704" max="7936"/>
    <col width="2.6640625" customWidth="1" style="7" min="7937" max="7939"/>
    <col width="10.6640625" customWidth="1" style="7" min="7940" max="7941"/>
    <col width="40.88671875" customWidth="1" style="7" min="7942" max="7942"/>
    <col width="18.88671875" bestFit="1" customWidth="1" style="7" min="7943" max="7943"/>
    <col width="13.109375" customWidth="1" style="7" min="7944" max="7944"/>
    <col width="9.6640625" customWidth="1" style="7" min="7945" max="7945"/>
    <col width="16.33203125" customWidth="1" style="7" min="7946" max="7946"/>
    <col width="2.6640625" customWidth="1" style="7" min="7947" max="7948"/>
    <col width="12.44140625" bestFit="1" customWidth="1" style="7" min="7949" max="7949"/>
    <col width="15" bestFit="1" customWidth="1" style="7" min="7950" max="7950"/>
    <col width="13.88671875" bestFit="1" customWidth="1" style="7" min="7951" max="7951"/>
    <col width="11.5546875" bestFit="1" customWidth="1" style="7" min="7952" max="7952"/>
    <col width="11.44140625" customWidth="1" style="7" min="7953" max="7953"/>
    <col hidden="1" style="7" min="7954" max="7956"/>
    <col width="10.88671875" customWidth="1" style="7" min="7957" max="7957"/>
    <col width="11" customWidth="1" style="7" min="7958" max="7958"/>
    <col width="8.88671875" customWidth="1" style="7" min="7959" max="7959"/>
    <col width="11.44140625" customWidth="1" style="7" min="7960" max="8192"/>
    <col width="2.6640625" customWidth="1" style="7" min="8193" max="8195"/>
    <col width="10.6640625" customWidth="1" style="7" min="8196" max="8197"/>
    <col width="40.88671875" customWidth="1" style="7" min="8198" max="8198"/>
    <col width="18.88671875" bestFit="1" customWidth="1" style="7" min="8199" max="8199"/>
    <col width="13.109375" customWidth="1" style="7" min="8200" max="8200"/>
    <col width="9.6640625" customWidth="1" style="7" min="8201" max="8201"/>
    <col width="16.33203125" customWidth="1" style="7" min="8202" max="8202"/>
    <col width="2.6640625" customWidth="1" style="7" min="8203" max="8204"/>
    <col width="12.44140625" bestFit="1" customWidth="1" style="7" min="8205" max="8205"/>
    <col width="15" bestFit="1" customWidth="1" style="7" min="8206" max="8206"/>
    <col width="13.88671875" bestFit="1" customWidth="1" style="7" min="8207" max="8207"/>
    <col width="11.5546875" bestFit="1" customWidth="1" style="7" min="8208" max="8208"/>
    <col width="11.44140625" customWidth="1" style="7" min="8209" max="8209"/>
    <col hidden="1" style="7" min="8210" max="8212"/>
    <col width="10.88671875" customWidth="1" style="7" min="8213" max="8213"/>
    <col width="11" customWidth="1" style="7" min="8214" max="8214"/>
    <col width="8.88671875" customWidth="1" style="7" min="8215" max="8215"/>
    <col width="11.44140625" customWidth="1" style="7" min="8216" max="8448"/>
    <col width="2.6640625" customWidth="1" style="7" min="8449" max="8451"/>
    <col width="10.6640625" customWidth="1" style="7" min="8452" max="8453"/>
    <col width="40.88671875" customWidth="1" style="7" min="8454" max="8454"/>
    <col width="18.88671875" bestFit="1" customWidth="1" style="7" min="8455" max="8455"/>
    <col width="13.109375" customWidth="1" style="7" min="8456" max="8456"/>
    <col width="9.6640625" customWidth="1" style="7" min="8457" max="8457"/>
    <col width="16.33203125" customWidth="1" style="7" min="8458" max="8458"/>
    <col width="2.6640625" customWidth="1" style="7" min="8459" max="8460"/>
    <col width="12.44140625" bestFit="1" customWidth="1" style="7" min="8461" max="8461"/>
    <col width="15" bestFit="1" customWidth="1" style="7" min="8462" max="8462"/>
    <col width="13.88671875" bestFit="1" customWidth="1" style="7" min="8463" max="8463"/>
    <col width="11.5546875" bestFit="1" customWidth="1" style="7" min="8464" max="8464"/>
    <col width="11.44140625" customWidth="1" style="7" min="8465" max="8465"/>
    <col hidden="1" style="7" min="8466" max="8468"/>
    <col width="10.88671875" customWidth="1" style="7" min="8469" max="8469"/>
    <col width="11" customWidth="1" style="7" min="8470" max="8470"/>
    <col width="8.88671875" customWidth="1" style="7" min="8471" max="8471"/>
    <col width="11.44140625" customWidth="1" style="7" min="8472" max="8704"/>
    <col width="2.6640625" customWidth="1" style="7" min="8705" max="8707"/>
    <col width="10.6640625" customWidth="1" style="7" min="8708" max="8709"/>
    <col width="40.88671875" customWidth="1" style="7" min="8710" max="8710"/>
    <col width="18.88671875" bestFit="1" customWidth="1" style="7" min="8711" max="8711"/>
    <col width="13.109375" customWidth="1" style="7" min="8712" max="8712"/>
    <col width="9.6640625" customWidth="1" style="7" min="8713" max="8713"/>
    <col width="16.33203125" customWidth="1" style="7" min="8714" max="8714"/>
    <col width="2.6640625" customWidth="1" style="7" min="8715" max="8716"/>
    <col width="12.44140625" bestFit="1" customWidth="1" style="7" min="8717" max="8717"/>
    <col width="15" bestFit="1" customWidth="1" style="7" min="8718" max="8718"/>
    <col width="13.88671875" bestFit="1" customWidth="1" style="7" min="8719" max="8719"/>
    <col width="11.5546875" bestFit="1" customWidth="1" style="7" min="8720" max="8720"/>
    <col width="11.44140625" customWidth="1" style="7" min="8721" max="8721"/>
    <col hidden="1" style="7" min="8722" max="8724"/>
    <col width="10.88671875" customWidth="1" style="7" min="8725" max="8725"/>
    <col width="11" customWidth="1" style="7" min="8726" max="8726"/>
    <col width="8.88671875" customWidth="1" style="7" min="8727" max="8727"/>
    <col width="11.44140625" customWidth="1" style="7" min="8728" max="8960"/>
    <col width="2.6640625" customWidth="1" style="7" min="8961" max="8963"/>
    <col width="10.6640625" customWidth="1" style="7" min="8964" max="8965"/>
    <col width="40.88671875" customWidth="1" style="7" min="8966" max="8966"/>
    <col width="18.88671875" bestFit="1" customWidth="1" style="7" min="8967" max="8967"/>
    <col width="13.109375" customWidth="1" style="7" min="8968" max="8968"/>
    <col width="9.6640625" customWidth="1" style="7" min="8969" max="8969"/>
    <col width="16.33203125" customWidth="1" style="7" min="8970" max="8970"/>
    <col width="2.6640625" customWidth="1" style="7" min="8971" max="8972"/>
    <col width="12.44140625" bestFit="1" customWidth="1" style="7" min="8973" max="8973"/>
    <col width="15" bestFit="1" customWidth="1" style="7" min="8974" max="8974"/>
    <col width="13.88671875" bestFit="1" customWidth="1" style="7" min="8975" max="8975"/>
    <col width="11.5546875" bestFit="1" customWidth="1" style="7" min="8976" max="8976"/>
    <col width="11.44140625" customWidth="1" style="7" min="8977" max="8977"/>
    <col hidden="1" style="7" min="8978" max="8980"/>
    <col width="10.88671875" customWidth="1" style="7" min="8981" max="8981"/>
    <col width="11" customWidth="1" style="7" min="8982" max="8982"/>
    <col width="8.88671875" customWidth="1" style="7" min="8983" max="8983"/>
    <col width="11.44140625" customWidth="1" style="7" min="8984" max="9216"/>
    <col width="2.6640625" customWidth="1" style="7" min="9217" max="9219"/>
    <col width="10.6640625" customWidth="1" style="7" min="9220" max="9221"/>
    <col width="40.88671875" customWidth="1" style="7" min="9222" max="9222"/>
    <col width="18.88671875" bestFit="1" customWidth="1" style="7" min="9223" max="9223"/>
    <col width="13.109375" customWidth="1" style="7" min="9224" max="9224"/>
    <col width="9.6640625" customWidth="1" style="7" min="9225" max="9225"/>
    <col width="16.33203125" customWidth="1" style="7" min="9226" max="9226"/>
    <col width="2.6640625" customWidth="1" style="7" min="9227" max="9228"/>
    <col width="12.44140625" bestFit="1" customWidth="1" style="7" min="9229" max="9229"/>
    <col width="15" bestFit="1" customWidth="1" style="7" min="9230" max="9230"/>
    <col width="13.88671875" bestFit="1" customWidth="1" style="7" min="9231" max="9231"/>
    <col width="11.5546875" bestFit="1" customWidth="1" style="7" min="9232" max="9232"/>
    <col width="11.44140625" customWidth="1" style="7" min="9233" max="9233"/>
    <col hidden="1" style="7" min="9234" max="9236"/>
    <col width="10.88671875" customWidth="1" style="7" min="9237" max="9237"/>
    <col width="11" customWidth="1" style="7" min="9238" max="9238"/>
    <col width="8.88671875" customWidth="1" style="7" min="9239" max="9239"/>
    <col width="11.44140625" customWidth="1" style="7" min="9240" max="9472"/>
    <col width="2.6640625" customWidth="1" style="7" min="9473" max="9475"/>
    <col width="10.6640625" customWidth="1" style="7" min="9476" max="9477"/>
    <col width="40.88671875" customWidth="1" style="7" min="9478" max="9478"/>
    <col width="18.88671875" bestFit="1" customWidth="1" style="7" min="9479" max="9479"/>
    <col width="13.109375" customWidth="1" style="7" min="9480" max="9480"/>
    <col width="9.6640625" customWidth="1" style="7" min="9481" max="9481"/>
    <col width="16.33203125" customWidth="1" style="7" min="9482" max="9482"/>
    <col width="2.6640625" customWidth="1" style="7" min="9483" max="9484"/>
    <col width="12.44140625" bestFit="1" customWidth="1" style="7" min="9485" max="9485"/>
    <col width="15" bestFit="1" customWidth="1" style="7" min="9486" max="9486"/>
    <col width="13.88671875" bestFit="1" customWidth="1" style="7" min="9487" max="9487"/>
    <col width="11.5546875" bestFit="1" customWidth="1" style="7" min="9488" max="9488"/>
    <col width="11.44140625" customWidth="1" style="7" min="9489" max="9489"/>
    <col hidden="1" style="7" min="9490" max="9492"/>
    <col width="10.88671875" customWidth="1" style="7" min="9493" max="9493"/>
    <col width="11" customWidth="1" style="7" min="9494" max="9494"/>
    <col width="8.88671875" customWidth="1" style="7" min="9495" max="9495"/>
    <col width="11.44140625" customWidth="1" style="7" min="9496" max="9728"/>
    <col width="2.6640625" customWidth="1" style="7" min="9729" max="9731"/>
    <col width="10.6640625" customWidth="1" style="7" min="9732" max="9733"/>
    <col width="40.88671875" customWidth="1" style="7" min="9734" max="9734"/>
    <col width="18.88671875" bestFit="1" customWidth="1" style="7" min="9735" max="9735"/>
    <col width="13.109375" customWidth="1" style="7" min="9736" max="9736"/>
    <col width="9.6640625" customWidth="1" style="7" min="9737" max="9737"/>
    <col width="16.33203125" customWidth="1" style="7" min="9738" max="9738"/>
    <col width="2.6640625" customWidth="1" style="7" min="9739" max="9740"/>
    <col width="12.44140625" bestFit="1" customWidth="1" style="7" min="9741" max="9741"/>
    <col width="15" bestFit="1" customWidth="1" style="7" min="9742" max="9742"/>
    <col width="13.88671875" bestFit="1" customWidth="1" style="7" min="9743" max="9743"/>
    <col width="11.5546875" bestFit="1" customWidth="1" style="7" min="9744" max="9744"/>
    <col width="11.44140625" customWidth="1" style="7" min="9745" max="9745"/>
    <col hidden="1" style="7" min="9746" max="9748"/>
    <col width="10.88671875" customWidth="1" style="7" min="9749" max="9749"/>
    <col width="11" customWidth="1" style="7" min="9750" max="9750"/>
    <col width="8.88671875" customWidth="1" style="7" min="9751" max="9751"/>
    <col width="11.44140625" customWidth="1" style="7" min="9752" max="9984"/>
    <col width="2.6640625" customWidth="1" style="7" min="9985" max="9987"/>
    <col width="10.6640625" customWidth="1" style="7" min="9988" max="9989"/>
    <col width="40.88671875" customWidth="1" style="7" min="9990" max="9990"/>
    <col width="18.88671875" bestFit="1" customWidth="1" style="7" min="9991" max="9991"/>
    <col width="13.109375" customWidth="1" style="7" min="9992" max="9992"/>
    <col width="9.6640625" customWidth="1" style="7" min="9993" max="9993"/>
    <col width="16.33203125" customWidth="1" style="7" min="9994" max="9994"/>
    <col width="2.6640625" customWidth="1" style="7" min="9995" max="9996"/>
    <col width="12.44140625" bestFit="1" customWidth="1" style="7" min="9997" max="9997"/>
    <col width="15" bestFit="1" customWidth="1" style="7" min="9998" max="9998"/>
    <col width="13.88671875" bestFit="1" customWidth="1" style="7" min="9999" max="9999"/>
    <col width="11.5546875" bestFit="1" customWidth="1" style="7" min="10000" max="10000"/>
    <col width="11.44140625" customWidth="1" style="7" min="10001" max="10001"/>
    <col hidden="1" style="7" min="10002" max="10004"/>
    <col width="10.88671875" customWidth="1" style="7" min="10005" max="10005"/>
    <col width="11" customWidth="1" style="7" min="10006" max="10006"/>
    <col width="8.88671875" customWidth="1" style="7" min="10007" max="10007"/>
    <col width="11.44140625" customWidth="1" style="7" min="10008" max="10240"/>
    <col width="2.6640625" customWidth="1" style="7" min="10241" max="10243"/>
    <col width="10.6640625" customWidth="1" style="7" min="10244" max="10245"/>
    <col width="40.88671875" customWidth="1" style="7" min="10246" max="10246"/>
    <col width="18.88671875" bestFit="1" customWidth="1" style="7" min="10247" max="10247"/>
    <col width="13.109375" customWidth="1" style="7" min="10248" max="10248"/>
    <col width="9.6640625" customWidth="1" style="7" min="10249" max="10249"/>
    <col width="16.33203125" customWidth="1" style="7" min="10250" max="10250"/>
    <col width="2.6640625" customWidth="1" style="7" min="10251" max="10252"/>
    <col width="12.44140625" bestFit="1" customWidth="1" style="7" min="10253" max="10253"/>
    <col width="15" bestFit="1" customWidth="1" style="7" min="10254" max="10254"/>
    <col width="13.88671875" bestFit="1" customWidth="1" style="7" min="10255" max="10255"/>
    <col width="11.5546875" bestFit="1" customWidth="1" style="7" min="10256" max="10256"/>
    <col width="11.44140625" customWidth="1" style="7" min="10257" max="10257"/>
    <col hidden="1" style="7" min="10258" max="10260"/>
    <col width="10.88671875" customWidth="1" style="7" min="10261" max="10261"/>
    <col width="11" customWidth="1" style="7" min="10262" max="10262"/>
    <col width="8.88671875" customWidth="1" style="7" min="10263" max="10263"/>
    <col width="11.44140625" customWidth="1" style="7" min="10264" max="10496"/>
    <col width="2.6640625" customWidth="1" style="7" min="10497" max="10499"/>
    <col width="10.6640625" customWidth="1" style="7" min="10500" max="10501"/>
    <col width="40.88671875" customWidth="1" style="7" min="10502" max="10502"/>
    <col width="18.88671875" bestFit="1" customWidth="1" style="7" min="10503" max="10503"/>
    <col width="13.109375" customWidth="1" style="7" min="10504" max="10504"/>
    <col width="9.6640625" customWidth="1" style="7" min="10505" max="10505"/>
    <col width="16.33203125" customWidth="1" style="7" min="10506" max="10506"/>
    <col width="2.6640625" customWidth="1" style="7" min="10507" max="10508"/>
    <col width="12.44140625" bestFit="1" customWidth="1" style="7" min="10509" max="10509"/>
    <col width="15" bestFit="1" customWidth="1" style="7" min="10510" max="10510"/>
    <col width="13.88671875" bestFit="1" customWidth="1" style="7" min="10511" max="10511"/>
    <col width="11.5546875" bestFit="1" customWidth="1" style="7" min="10512" max="10512"/>
    <col width="11.44140625" customWidth="1" style="7" min="10513" max="10513"/>
    <col hidden="1" style="7" min="10514" max="10516"/>
    <col width="10.88671875" customWidth="1" style="7" min="10517" max="10517"/>
    <col width="11" customWidth="1" style="7" min="10518" max="10518"/>
    <col width="8.88671875" customWidth="1" style="7" min="10519" max="10519"/>
    <col width="11.44140625" customWidth="1" style="7" min="10520" max="10752"/>
    <col width="2.6640625" customWidth="1" style="7" min="10753" max="10755"/>
    <col width="10.6640625" customWidth="1" style="7" min="10756" max="10757"/>
    <col width="40.88671875" customWidth="1" style="7" min="10758" max="10758"/>
    <col width="18.88671875" bestFit="1" customWidth="1" style="7" min="10759" max="10759"/>
    <col width="13.109375" customWidth="1" style="7" min="10760" max="10760"/>
    <col width="9.6640625" customWidth="1" style="7" min="10761" max="10761"/>
    <col width="16.33203125" customWidth="1" style="7" min="10762" max="10762"/>
    <col width="2.6640625" customWidth="1" style="7" min="10763" max="10764"/>
    <col width="12.44140625" bestFit="1" customWidth="1" style="7" min="10765" max="10765"/>
    <col width="15" bestFit="1" customWidth="1" style="7" min="10766" max="10766"/>
    <col width="13.88671875" bestFit="1" customWidth="1" style="7" min="10767" max="10767"/>
    <col width="11.5546875" bestFit="1" customWidth="1" style="7" min="10768" max="10768"/>
    <col width="11.44140625" customWidth="1" style="7" min="10769" max="10769"/>
    <col hidden="1" style="7" min="10770" max="10772"/>
    <col width="10.88671875" customWidth="1" style="7" min="10773" max="10773"/>
    <col width="11" customWidth="1" style="7" min="10774" max="10774"/>
    <col width="8.88671875" customWidth="1" style="7" min="10775" max="10775"/>
    <col width="11.44140625" customWidth="1" style="7" min="10776" max="11008"/>
    <col width="2.6640625" customWidth="1" style="7" min="11009" max="11011"/>
    <col width="10.6640625" customWidth="1" style="7" min="11012" max="11013"/>
    <col width="40.88671875" customWidth="1" style="7" min="11014" max="11014"/>
    <col width="18.88671875" bestFit="1" customWidth="1" style="7" min="11015" max="11015"/>
    <col width="13.109375" customWidth="1" style="7" min="11016" max="11016"/>
    <col width="9.6640625" customWidth="1" style="7" min="11017" max="11017"/>
    <col width="16.33203125" customWidth="1" style="7" min="11018" max="11018"/>
    <col width="2.6640625" customWidth="1" style="7" min="11019" max="11020"/>
    <col width="12.44140625" bestFit="1" customWidth="1" style="7" min="11021" max="11021"/>
    <col width="15" bestFit="1" customWidth="1" style="7" min="11022" max="11022"/>
    <col width="13.88671875" bestFit="1" customWidth="1" style="7" min="11023" max="11023"/>
    <col width="11.5546875" bestFit="1" customWidth="1" style="7" min="11024" max="11024"/>
    <col width="11.44140625" customWidth="1" style="7" min="11025" max="11025"/>
    <col hidden="1" style="7" min="11026" max="11028"/>
    <col width="10.88671875" customWidth="1" style="7" min="11029" max="11029"/>
    <col width="11" customWidth="1" style="7" min="11030" max="11030"/>
    <col width="8.88671875" customWidth="1" style="7" min="11031" max="11031"/>
    <col width="11.44140625" customWidth="1" style="7" min="11032" max="11264"/>
    <col width="2.6640625" customWidth="1" style="7" min="11265" max="11267"/>
    <col width="10.6640625" customWidth="1" style="7" min="11268" max="11269"/>
    <col width="40.88671875" customWidth="1" style="7" min="11270" max="11270"/>
    <col width="18.88671875" bestFit="1" customWidth="1" style="7" min="11271" max="11271"/>
    <col width="13.109375" customWidth="1" style="7" min="11272" max="11272"/>
    <col width="9.6640625" customWidth="1" style="7" min="11273" max="11273"/>
    <col width="16.33203125" customWidth="1" style="7" min="11274" max="11274"/>
    <col width="2.6640625" customWidth="1" style="7" min="11275" max="11276"/>
    <col width="12.44140625" bestFit="1" customWidth="1" style="7" min="11277" max="11277"/>
    <col width="15" bestFit="1" customWidth="1" style="7" min="11278" max="11278"/>
    <col width="13.88671875" bestFit="1" customWidth="1" style="7" min="11279" max="11279"/>
    <col width="11.5546875" bestFit="1" customWidth="1" style="7" min="11280" max="11280"/>
    <col width="11.44140625" customWidth="1" style="7" min="11281" max="11281"/>
    <col hidden="1" style="7" min="11282" max="11284"/>
    <col width="10.88671875" customWidth="1" style="7" min="11285" max="11285"/>
    <col width="11" customWidth="1" style="7" min="11286" max="11286"/>
    <col width="8.88671875" customWidth="1" style="7" min="11287" max="11287"/>
    <col width="11.44140625" customWidth="1" style="7" min="11288" max="11520"/>
    <col width="2.6640625" customWidth="1" style="7" min="11521" max="11523"/>
    <col width="10.6640625" customWidth="1" style="7" min="11524" max="11525"/>
    <col width="40.88671875" customWidth="1" style="7" min="11526" max="11526"/>
    <col width="18.88671875" bestFit="1" customWidth="1" style="7" min="11527" max="11527"/>
    <col width="13.109375" customWidth="1" style="7" min="11528" max="11528"/>
    <col width="9.6640625" customWidth="1" style="7" min="11529" max="11529"/>
    <col width="16.33203125" customWidth="1" style="7" min="11530" max="11530"/>
    <col width="2.6640625" customWidth="1" style="7" min="11531" max="11532"/>
    <col width="12.44140625" bestFit="1" customWidth="1" style="7" min="11533" max="11533"/>
    <col width="15" bestFit="1" customWidth="1" style="7" min="11534" max="11534"/>
    <col width="13.88671875" bestFit="1" customWidth="1" style="7" min="11535" max="11535"/>
    <col width="11.5546875" bestFit="1" customWidth="1" style="7" min="11536" max="11536"/>
    <col width="11.44140625" customWidth="1" style="7" min="11537" max="11537"/>
    <col hidden="1" style="7" min="11538" max="11540"/>
    <col width="10.88671875" customWidth="1" style="7" min="11541" max="11541"/>
    <col width="11" customWidth="1" style="7" min="11542" max="11542"/>
    <col width="8.88671875" customWidth="1" style="7" min="11543" max="11543"/>
    <col width="11.44140625" customWidth="1" style="7" min="11544" max="11776"/>
    <col width="2.6640625" customWidth="1" style="7" min="11777" max="11779"/>
    <col width="10.6640625" customWidth="1" style="7" min="11780" max="11781"/>
    <col width="40.88671875" customWidth="1" style="7" min="11782" max="11782"/>
    <col width="18.88671875" bestFit="1" customWidth="1" style="7" min="11783" max="11783"/>
    <col width="13.109375" customWidth="1" style="7" min="11784" max="11784"/>
    <col width="9.6640625" customWidth="1" style="7" min="11785" max="11785"/>
    <col width="16.33203125" customWidth="1" style="7" min="11786" max="11786"/>
    <col width="2.6640625" customWidth="1" style="7" min="11787" max="11788"/>
    <col width="12.44140625" bestFit="1" customWidth="1" style="7" min="11789" max="11789"/>
    <col width="15" bestFit="1" customWidth="1" style="7" min="11790" max="11790"/>
    <col width="13.88671875" bestFit="1" customWidth="1" style="7" min="11791" max="11791"/>
    <col width="11.5546875" bestFit="1" customWidth="1" style="7" min="11792" max="11792"/>
    <col width="11.44140625" customWidth="1" style="7" min="11793" max="11793"/>
    <col hidden="1" style="7" min="11794" max="11796"/>
    <col width="10.88671875" customWidth="1" style="7" min="11797" max="11797"/>
    <col width="11" customWidth="1" style="7" min="11798" max="11798"/>
    <col width="8.88671875" customWidth="1" style="7" min="11799" max="11799"/>
    <col width="11.44140625" customWidth="1" style="7" min="11800" max="12032"/>
    <col width="2.6640625" customWidth="1" style="7" min="12033" max="12035"/>
    <col width="10.6640625" customWidth="1" style="7" min="12036" max="12037"/>
    <col width="40.88671875" customWidth="1" style="7" min="12038" max="12038"/>
    <col width="18.88671875" bestFit="1" customWidth="1" style="7" min="12039" max="12039"/>
    <col width="13.109375" customWidth="1" style="7" min="12040" max="12040"/>
    <col width="9.6640625" customWidth="1" style="7" min="12041" max="12041"/>
    <col width="16.33203125" customWidth="1" style="7" min="12042" max="12042"/>
    <col width="2.6640625" customWidth="1" style="7" min="12043" max="12044"/>
    <col width="12.44140625" bestFit="1" customWidth="1" style="7" min="12045" max="12045"/>
    <col width="15" bestFit="1" customWidth="1" style="7" min="12046" max="12046"/>
    <col width="13.88671875" bestFit="1" customWidth="1" style="7" min="12047" max="12047"/>
    <col width="11.5546875" bestFit="1" customWidth="1" style="7" min="12048" max="12048"/>
    <col width="11.44140625" customWidth="1" style="7" min="12049" max="12049"/>
    <col hidden="1" style="7" min="12050" max="12052"/>
    <col width="10.88671875" customWidth="1" style="7" min="12053" max="12053"/>
    <col width="11" customWidth="1" style="7" min="12054" max="12054"/>
    <col width="8.88671875" customWidth="1" style="7" min="12055" max="12055"/>
    <col width="11.44140625" customWidth="1" style="7" min="12056" max="12288"/>
    <col width="2.6640625" customWidth="1" style="7" min="12289" max="12291"/>
    <col width="10.6640625" customWidth="1" style="7" min="12292" max="12293"/>
    <col width="40.88671875" customWidth="1" style="7" min="12294" max="12294"/>
    <col width="18.88671875" bestFit="1" customWidth="1" style="7" min="12295" max="12295"/>
    <col width="13.109375" customWidth="1" style="7" min="12296" max="12296"/>
    <col width="9.6640625" customWidth="1" style="7" min="12297" max="12297"/>
    <col width="16.33203125" customWidth="1" style="7" min="12298" max="12298"/>
    <col width="2.6640625" customWidth="1" style="7" min="12299" max="12300"/>
    <col width="12.44140625" bestFit="1" customWidth="1" style="7" min="12301" max="12301"/>
    <col width="15" bestFit="1" customWidth="1" style="7" min="12302" max="12302"/>
    <col width="13.88671875" bestFit="1" customWidth="1" style="7" min="12303" max="12303"/>
    <col width="11.5546875" bestFit="1" customWidth="1" style="7" min="12304" max="12304"/>
    <col width="11.44140625" customWidth="1" style="7" min="12305" max="12305"/>
    <col hidden="1" style="7" min="12306" max="12308"/>
    <col width="10.88671875" customWidth="1" style="7" min="12309" max="12309"/>
    <col width="11" customWidth="1" style="7" min="12310" max="12310"/>
    <col width="8.88671875" customWidth="1" style="7" min="12311" max="12311"/>
    <col width="11.44140625" customWidth="1" style="7" min="12312" max="12544"/>
    <col width="2.6640625" customWidth="1" style="7" min="12545" max="12547"/>
    <col width="10.6640625" customWidth="1" style="7" min="12548" max="12549"/>
    <col width="40.88671875" customWidth="1" style="7" min="12550" max="12550"/>
    <col width="18.88671875" bestFit="1" customWidth="1" style="7" min="12551" max="12551"/>
    <col width="13.109375" customWidth="1" style="7" min="12552" max="12552"/>
    <col width="9.6640625" customWidth="1" style="7" min="12553" max="12553"/>
    <col width="16.33203125" customWidth="1" style="7" min="12554" max="12554"/>
    <col width="2.6640625" customWidth="1" style="7" min="12555" max="12556"/>
    <col width="12.44140625" bestFit="1" customWidth="1" style="7" min="12557" max="12557"/>
    <col width="15" bestFit="1" customWidth="1" style="7" min="12558" max="12558"/>
    <col width="13.88671875" bestFit="1" customWidth="1" style="7" min="12559" max="12559"/>
    <col width="11.5546875" bestFit="1" customWidth="1" style="7" min="12560" max="12560"/>
    <col width="11.44140625" customWidth="1" style="7" min="12561" max="12561"/>
    <col hidden="1" style="7" min="12562" max="12564"/>
    <col width="10.88671875" customWidth="1" style="7" min="12565" max="12565"/>
    <col width="11" customWidth="1" style="7" min="12566" max="12566"/>
    <col width="8.88671875" customWidth="1" style="7" min="12567" max="12567"/>
    <col width="11.44140625" customWidth="1" style="7" min="12568" max="12800"/>
    <col width="2.6640625" customWidth="1" style="7" min="12801" max="12803"/>
    <col width="10.6640625" customWidth="1" style="7" min="12804" max="12805"/>
    <col width="40.88671875" customWidth="1" style="7" min="12806" max="12806"/>
    <col width="18.88671875" bestFit="1" customWidth="1" style="7" min="12807" max="12807"/>
    <col width="13.109375" customWidth="1" style="7" min="12808" max="12808"/>
    <col width="9.6640625" customWidth="1" style="7" min="12809" max="12809"/>
    <col width="16.33203125" customWidth="1" style="7" min="12810" max="12810"/>
    <col width="2.6640625" customWidth="1" style="7" min="12811" max="12812"/>
    <col width="12.44140625" bestFit="1" customWidth="1" style="7" min="12813" max="12813"/>
    <col width="15" bestFit="1" customWidth="1" style="7" min="12814" max="12814"/>
    <col width="13.88671875" bestFit="1" customWidth="1" style="7" min="12815" max="12815"/>
    <col width="11.5546875" bestFit="1" customWidth="1" style="7" min="12816" max="12816"/>
    <col width="11.44140625" customWidth="1" style="7" min="12817" max="12817"/>
    <col hidden="1" style="7" min="12818" max="12820"/>
    <col width="10.88671875" customWidth="1" style="7" min="12821" max="12821"/>
    <col width="11" customWidth="1" style="7" min="12822" max="12822"/>
    <col width="8.88671875" customWidth="1" style="7" min="12823" max="12823"/>
    <col width="11.44140625" customWidth="1" style="7" min="12824" max="13056"/>
    <col width="2.6640625" customWidth="1" style="7" min="13057" max="13059"/>
    <col width="10.6640625" customWidth="1" style="7" min="13060" max="13061"/>
    <col width="40.88671875" customWidth="1" style="7" min="13062" max="13062"/>
    <col width="18.88671875" bestFit="1" customWidth="1" style="7" min="13063" max="13063"/>
    <col width="13.109375" customWidth="1" style="7" min="13064" max="13064"/>
    <col width="9.6640625" customWidth="1" style="7" min="13065" max="13065"/>
    <col width="16.33203125" customWidth="1" style="7" min="13066" max="13066"/>
    <col width="2.6640625" customWidth="1" style="7" min="13067" max="13068"/>
    <col width="12.44140625" bestFit="1" customWidth="1" style="7" min="13069" max="13069"/>
    <col width="15" bestFit="1" customWidth="1" style="7" min="13070" max="13070"/>
    <col width="13.88671875" bestFit="1" customWidth="1" style="7" min="13071" max="13071"/>
    <col width="11.5546875" bestFit="1" customWidth="1" style="7" min="13072" max="13072"/>
    <col width="11.44140625" customWidth="1" style="7" min="13073" max="13073"/>
    <col hidden="1" style="7" min="13074" max="13076"/>
    <col width="10.88671875" customWidth="1" style="7" min="13077" max="13077"/>
    <col width="11" customWidth="1" style="7" min="13078" max="13078"/>
    <col width="8.88671875" customWidth="1" style="7" min="13079" max="13079"/>
    <col width="11.44140625" customWidth="1" style="7" min="13080" max="13312"/>
    <col width="2.6640625" customWidth="1" style="7" min="13313" max="13315"/>
    <col width="10.6640625" customWidth="1" style="7" min="13316" max="13317"/>
    <col width="40.88671875" customWidth="1" style="7" min="13318" max="13318"/>
    <col width="18.88671875" bestFit="1" customWidth="1" style="7" min="13319" max="13319"/>
    <col width="13.109375" customWidth="1" style="7" min="13320" max="13320"/>
    <col width="9.6640625" customWidth="1" style="7" min="13321" max="13321"/>
    <col width="16.33203125" customWidth="1" style="7" min="13322" max="13322"/>
    <col width="2.6640625" customWidth="1" style="7" min="13323" max="13324"/>
    <col width="12.44140625" bestFit="1" customWidth="1" style="7" min="13325" max="13325"/>
    <col width="15" bestFit="1" customWidth="1" style="7" min="13326" max="13326"/>
    <col width="13.88671875" bestFit="1" customWidth="1" style="7" min="13327" max="13327"/>
    <col width="11.5546875" bestFit="1" customWidth="1" style="7" min="13328" max="13328"/>
    <col width="11.44140625" customWidth="1" style="7" min="13329" max="13329"/>
    <col hidden="1" style="7" min="13330" max="13332"/>
    <col width="10.88671875" customWidth="1" style="7" min="13333" max="13333"/>
    <col width="11" customWidth="1" style="7" min="13334" max="13334"/>
    <col width="8.88671875" customWidth="1" style="7" min="13335" max="13335"/>
    <col width="11.44140625" customWidth="1" style="7" min="13336" max="13568"/>
    <col width="2.6640625" customWidth="1" style="7" min="13569" max="13571"/>
    <col width="10.6640625" customWidth="1" style="7" min="13572" max="13573"/>
    <col width="40.88671875" customWidth="1" style="7" min="13574" max="13574"/>
    <col width="18.88671875" bestFit="1" customWidth="1" style="7" min="13575" max="13575"/>
    <col width="13.109375" customWidth="1" style="7" min="13576" max="13576"/>
    <col width="9.6640625" customWidth="1" style="7" min="13577" max="13577"/>
    <col width="16.33203125" customWidth="1" style="7" min="13578" max="13578"/>
    <col width="2.6640625" customWidth="1" style="7" min="13579" max="13580"/>
    <col width="12.44140625" bestFit="1" customWidth="1" style="7" min="13581" max="13581"/>
    <col width="15" bestFit="1" customWidth="1" style="7" min="13582" max="13582"/>
    <col width="13.88671875" bestFit="1" customWidth="1" style="7" min="13583" max="13583"/>
    <col width="11.5546875" bestFit="1" customWidth="1" style="7" min="13584" max="13584"/>
    <col width="11.44140625" customWidth="1" style="7" min="13585" max="13585"/>
    <col hidden="1" style="7" min="13586" max="13588"/>
    <col width="10.88671875" customWidth="1" style="7" min="13589" max="13589"/>
    <col width="11" customWidth="1" style="7" min="13590" max="13590"/>
    <col width="8.88671875" customWidth="1" style="7" min="13591" max="13591"/>
    <col width="11.44140625" customWidth="1" style="7" min="13592" max="13824"/>
    <col width="2.6640625" customWidth="1" style="7" min="13825" max="13827"/>
    <col width="10.6640625" customWidth="1" style="7" min="13828" max="13829"/>
    <col width="40.88671875" customWidth="1" style="7" min="13830" max="13830"/>
    <col width="18.88671875" bestFit="1" customWidth="1" style="7" min="13831" max="13831"/>
    <col width="13.109375" customWidth="1" style="7" min="13832" max="13832"/>
    <col width="9.6640625" customWidth="1" style="7" min="13833" max="13833"/>
    <col width="16.33203125" customWidth="1" style="7" min="13834" max="13834"/>
    <col width="2.6640625" customWidth="1" style="7" min="13835" max="13836"/>
    <col width="12.44140625" bestFit="1" customWidth="1" style="7" min="13837" max="13837"/>
    <col width="15" bestFit="1" customWidth="1" style="7" min="13838" max="13838"/>
    <col width="13.88671875" bestFit="1" customWidth="1" style="7" min="13839" max="13839"/>
    <col width="11.5546875" bestFit="1" customWidth="1" style="7" min="13840" max="13840"/>
    <col width="11.44140625" customWidth="1" style="7" min="13841" max="13841"/>
    <col hidden="1" style="7" min="13842" max="13844"/>
    <col width="10.88671875" customWidth="1" style="7" min="13845" max="13845"/>
    <col width="11" customWidth="1" style="7" min="13846" max="13846"/>
    <col width="8.88671875" customWidth="1" style="7" min="13847" max="13847"/>
    <col width="11.44140625" customWidth="1" style="7" min="13848" max="14080"/>
    <col width="2.6640625" customWidth="1" style="7" min="14081" max="14083"/>
    <col width="10.6640625" customWidth="1" style="7" min="14084" max="14085"/>
    <col width="40.88671875" customWidth="1" style="7" min="14086" max="14086"/>
    <col width="18.88671875" bestFit="1" customWidth="1" style="7" min="14087" max="14087"/>
    <col width="13.109375" customWidth="1" style="7" min="14088" max="14088"/>
    <col width="9.6640625" customWidth="1" style="7" min="14089" max="14089"/>
    <col width="16.33203125" customWidth="1" style="7" min="14090" max="14090"/>
    <col width="2.6640625" customWidth="1" style="7" min="14091" max="14092"/>
    <col width="12.44140625" bestFit="1" customWidth="1" style="7" min="14093" max="14093"/>
    <col width="15" bestFit="1" customWidth="1" style="7" min="14094" max="14094"/>
    <col width="13.88671875" bestFit="1" customWidth="1" style="7" min="14095" max="14095"/>
    <col width="11.5546875" bestFit="1" customWidth="1" style="7" min="14096" max="14096"/>
    <col width="11.44140625" customWidth="1" style="7" min="14097" max="14097"/>
    <col hidden="1" style="7" min="14098" max="14100"/>
    <col width="10.88671875" customWidth="1" style="7" min="14101" max="14101"/>
    <col width="11" customWidth="1" style="7" min="14102" max="14102"/>
    <col width="8.88671875" customWidth="1" style="7" min="14103" max="14103"/>
    <col width="11.44140625" customWidth="1" style="7" min="14104" max="14336"/>
    <col width="2.6640625" customWidth="1" style="7" min="14337" max="14339"/>
    <col width="10.6640625" customWidth="1" style="7" min="14340" max="14341"/>
    <col width="40.88671875" customWidth="1" style="7" min="14342" max="14342"/>
    <col width="18.88671875" bestFit="1" customWidth="1" style="7" min="14343" max="14343"/>
    <col width="13.109375" customWidth="1" style="7" min="14344" max="14344"/>
    <col width="9.6640625" customWidth="1" style="7" min="14345" max="14345"/>
    <col width="16.33203125" customWidth="1" style="7" min="14346" max="14346"/>
    <col width="2.6640625" customWidth="1" style="7" min="14347" max="14348"/>
    <col width="12.44140625" bestFit="1" customWidth="1" style="7" min="14349" max="14349"/>
    <col width="15" bestFit="1" customWidth="1" style="7" min="14350" max="14350"/>
    <col width="13.88671875" bestFit="1" customWidth="1" style="7" min="14351" max="14351"/>
    <col width="11.5546875" bestFit="1" customWidth="1" style="7" min="14352" max="14352"/>
    <col width="11.44140625" customWidth="1" style="7" min="14353" max="14353"/>
    <col hidden="1" style="7" min="14354" max="14356"/>
    <col width="10.88671875" customWidth="1" style="7" min="14357" max="14357"/>
    <col width="11" customWidth="1" style="7" min="14358" max="14358"/>
    <col width="8.88671875" customWidth="1" style="7" min="14359" max="14359"/>
    <col width="11.44140625" customWidth="1" style="7" min="14360" max="14592"/>
    <col width="2.6640625" customWidth="1" style="7" min="14593" max="14595"/>
    <col width="10.6640625" customWidth="1" style="7" min="14596" max="14597"/>
    <col width="40.88671875" customWidth="1" style="7" min="14598" max="14598"/>
    <col width="18.88671875" bestFit="1" customWidth="1" style="7" min="14599" max="14599"/>
    <col width="13.109375" customWidth="1" style="7" min="14600" max="14600"/>
    <col width="9.6640625" customWidth="1" style="7" min="14601" max="14601"/>
    <col width="16.33203125" customWidth="1" style="7" min="14602" max="14602"/>
    <col width="2.6640625" customWidth="1" style="7" min="14603" max="14604"/>
    <col width="12.44140625" bestFit="1" customWidth="1" style="7" min="14605" max="14605"/>
    <col width="15" bestFit="1" customWidth="1" style="7" min="14606" max="14606"/>
    <col width="13.88671875" bestFit="1" customWidth="1" style="7" min="14607" max="14607"/>
    <col width="11.5546875" bestFit="1" customWidth="1" style="7" min="14608" max="14608"/>
    <col width="11.44140625" customWidth="1" style="7" min="14609" max="14609"/>
    <col hidden="1" style="7" min="14610" max="14612"/>
    <col width="10.88671875" customWidth="1" style="7" min="14613" max="14613"/>
    <col width="11" customWidth="1" style="7" min="14614" max="14614"/>
    <col width="8.88671875" customWidth="1" style="7" min="14615" max="14615"/>
    <col width="11.44140625" customWidth="1" style="7" min="14616" max="14848"/>
    <col width="2.6640625" customWidth="1" style="7" min="14849" max="14851"/>
    <col width="10.6640625" customWidth="1" style="7" min="14852" max="14853"/>
    <col width="40.88671875" customWidth="1" style="7" min="14854" max="14854"/>
    <col width="18.88671875" bestFit="1" customWidth="1" style="7" min="14855" max="14855"/>
    <col width="13.109375" customWidth="1" style="7" min="14856" max="14856"/>
    <col width="9.6640625" customWidth="1" style="7" min="14857" max="14857"/>
    <col width="16.33203125" customWidth="1" style="7" min="14858" max="14858"/>
    <col width="2.6640625" customWidth="1" style="7" min="14859" max="14860"/>
    <col width="12.44140625" bestFit="1" customWidth="1" style="7" min="14861" max="14861"/>
    <col width="15" bestFit="1" customWidth="1" style="7" min="14862" max="14862"/>
    <col width="13.88671875" bestFit="1" customWidth="1" style="7" min="14863" max="14863"/>
    <col width="11.5546875" bestFit="1" customWidth="1" style="7" min="14864" max="14864"/>
    <col width="11.44140625" customWidth="1" style="7" min="14865" max="14865"/>
    <col hidden="1" style="7" min="14866" max="14868"/>
    <col width="10.88671875" customWidth="1" style="7" min="14869" max="14869"/>
    <col width="11" customWidth="1" style="7" min="14870" max="14870"/>
    <col width="8.88671875" customWidth="1" style="7" min="14871" max="14871"/>
    <col width="11.44140625" customWidth="1" style="7" min="14872" max="15104"/>
    <col width="2.6640625" customWidth="1" style="7" min="15105" max="15107"/>
    <col width="10.6640625" customWidth="1" style="7" min="15108" max="15109"/>
    <col width="40.88671875" customWidth="1" style="7" min="15110" max="15110"/>
    <col width="18.88671875" bestFit="1" customWidth="1" style="7" min="15111" max="15111"/>
    <col width="13.109375" customWidth="1" style="7" min="15112" max="15112"/>
    <col width="9.6640625" customWidth="1" style="7" min="15113" max="15113"/>
    <col width="16.33203125" customWidth="1" style="7" min="15114" max="15114"/>
    <col width="2.6640625" customWidth="1" style="7" min="15115" max="15116"/>
    <col width="12.44140625" bestFit="1" customWidth="1" style="7" min="15117" max="15117"/>
    <col width="15" bestFit="1" customWidth="1" style="7" min="15118" max="15118"/>
    <col width="13.88671875" bestFit="1" customWidth="1" style="7" min="15119" max="15119"/>
    <col width="11.5546875" bestFit="1" customWidth="1" style="7" min="15120" max="15120"/>
    <col width="11.44140625" customWidth="1" style="7" min="15121" max="15121"/>
    <col hidden="1" style="7" min="15122" max="15124"/>
    <col width="10.88671875" customWidth="1" style="7" min="15125" max="15125"/>
    <col width="11" customWidth="1" style="7" min="15126" max="15126"/>
    <col width="8.88671875" customWidth="1" style="7" min="15127" max="15127"/>
    <col width="11.44140625" customWidth="1" style="7" min="15128" max="15360"/>
    <col width="2.6640625" customWidth="1" style="7" min="15361" max="15363"/>
    <col width="10.6640625" customWidth="1" style="7" min="15364" max="15365"/>
    <col width="40.88671875" customWidth="1" style="7" min="15366" max="15366"/>
    <col width="18.88671875" bestFit="1" customWidth="1" style="7" min="15367" max="15367"/>
    <col width="13.109375" customWidth="1" style="7" min="15368" max="15368"/>
    <col width="9.6640625" customWidth="1" style="7" min="15369" max="15369"/>
    <col width="16.33203125" customWidth="1" style="7" min="15370" max="15370"/>
    <col width="2.6640625" customWidth="1" style="7" min="15371" max="15372"/>
    <col width="12.44140625" bestFit="1" customWidth="1" style="7" min="15373" max="15373"/>
    <col width="15" bestFit="1" customWidth="1" style="7" min="15374" max="15374"/>
    <col width="13.88671875" bestFit="1" customWidth="1" style="7" min="15375" max="15375"/>
    <col width="11.5546875" bestFit="1" customWidth="1" style="7" min="15376" max="15376"/>
    <col width="11.44140625" customWidth="1" style="7" min="15377" max="15377"/>
    <col hidden="1" style="7" min="15378" max="15380"/>
    <col width="10.88671875" customWidth="1" style="7" min="15381" max="15381"/>
    <col width="11" customWidth="1" style="7" min="15382" max="15382"/>
    <col width="8.88671875" customWidth="1" style="7" min="15383" max="15383"/>
    <col width="11.44140625" customWidth="1" style="7" min="15384" max="15616"/>
    <col width="2.6640625" customWidth="1" style="7" min="15617" max="15619"/>
    <col width="10.6640625" customWidth="1" style="7" min="15620" max="15621"/>
    <col width="40.88671875" customWidth="1" style="7" min="15622" max="15622"/>
    <col width="18.88671875" bestFit="1" customWidth="1" style="7" min="15623" max="15623"/>
    <col width="13.109375" customWidth="1" style="7" min="15624" max="15624"/>
    <col width="9.6640625" customWidth="1" style="7" min="15625" max="15625"/>
    <col width="16.33203125" customWidth="1" style="7" min="15626" max="15626"/>
    <col width="2.6640625" customWidth="1" style="7" min="15627" max="15628"/>
    <col width="12.44140625" bestFit="1" customWidth="1" style="7" min="15629" max="15629"/>
    <col width="15" bestFit="1" customWidth="1" style="7" min="15630" max="15630"/>
    <col width="13.88671875" bestFit="1" customWidth="1" style="7" min="15631" max="15631"/>
    <col width="11.5546875" bestFit="1" customWidth="1" style="7" min="15632" max="15632"/>
    <col width="11.44140625" customWidth="1" style="7" min="15633" max="15633"/>
    <col hidden="1" style="7" min="15634" max="15636"/>
    <col width="10.88671875" customWidth="1" style="7" min="15637" max="15637"/>
    <col width="11" customWidth="1" style="7" min="15638" max="15638"/>
    <col width="8.88671875" customWidth="1" style="7" min="15639" max="15639"/>
    <col width="11.44140625" customWidth="1" style="7" min="15640" max="15872"/>
    <col width="2.6640625" customWidth="1" style="7" min="15873" max="15875"/>
    <col width="10.6640625" customWidth="1" style="7" min="15876" max="15877"/>
    <col width="40.88671875" customWidth="1" style="7" min="15878" max="15878"/>
    <col width="18.88671875" bestFit="1" customWidth="1" style="7" min="15879" max="15879"/>
    <col width="13.109375" customWidth="1" style="7" min="15880" max="15880"/>
    <col width="9.6640625" customWidth="1" style="7" min="15881" max="15881"/>
    <col width="16.33203125" customWidth="1" style="7" min="15882" max="15882"/>
    <col width="2.6640625" customWidth="1" style="7" min="15883" max="15884"/>
    <col width="12.44140625" bestFit="1" customWidth="1" style="7" min="15885" max="15885"/>
    <col width="15" bestFit="1" customWidth="1" style="7" min="15886" max="15886"/>
    <col width="13.88671875" bestFit="1" customWidth="1" style="7" min="15887" max="15887"/>
    <col width="11.5546875" bestFit="1" customWidth="1" style="7" min="15888" max="15888"/>
    <col width="11.44140625" customWidth="1" style="7" min="15889" max="15889"/>
    <col hidden="1" style="7" min="15890" max="15892"/>
    <col width="10.88671875" customWidth="1" style="7" min="15893" max="15893"/>
    <col width="11" customWidth="1" style="7" min="15894" max="15894"/>
    <col width="8.88671875" customWidth="1" style="7" min="15895" max="15895"/>
    <col width="11.44140625" customWidth="1" style="7" min="15896" max="16128"/>
    <col width="2.6640625" customWidth="1" style="7" min="16129" max="16131"/>
    <col width="10.6640625" customWidth="1" style="7" min="16132" max="16133"/>
    <col width="40.88671875" customWidth="1" style="7" min="16134" max="16134"/>
    <col width="18.88671875" bestFit="1" customWidth="1" style="7" min="16135" max="16135"/>
    <col width="13.109375" customWidth="1" style="7" min="16136" max="16136"/>
    <col width="9.6640625" customWidth="1" style="7" min="16137" max="16137"/>
    <col width="16.33203125" customWidth="1" style="7" min="16138" max="16138"/>
    <col width="2.6640625" customWidth="1" style="7" min="16139" max="16140"/>
    <col width="12.44140625" bestFit="1" customWidth="1" style="7" min="16141" max="16141"/>
    <col width="15" bestFit="1" customWidth="1" style="7" min="16142" max="16142"/>
    <col width="13.88671875" bestFit="1" customWidth="1" style="7" min="16143" max="16143"/>
    <col width="11.5546875" bestFit="1" customWidth="1" style="7" min="16144" max="16144"/>
    <col width="11.44140625" customWidth="1" style="7" min="16145" max="16145"/>
    <col hidden="1" style="7" min="16146" max="16148"/>
    <col width="10.88671875" customWidth="1" style="7" min="16149" max="16149"/>
    <col width="11" customWidth="1" style="7" min="16150" max="16150"/>
    <col width="8.88671875" customWidth="1" style="7" min="16151" max="16151"/>
    <col width="11.44140625" customWidth="1" style="7" min="16152" max="16384"/>
  </cols>
  <sheetData>
    <row r="1" ht="14.1" customHeight="1">
      <c r="A1" s="1" t="n"/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inlineStr">
        <is>
          <t>nb jour/mois</t>
        </is>
      </c>
      <c r="S1" s="7" t="inlineStr">
        <is>
          <t>nb jour/mois</t>
        </is>
      </c>
      <c r="T1" s="42">
        <f>365/12</f>
        <v/>
      </c>
      <c r="U1">
        <f>365/12</f>
        <v/>
      </c>
    </row>
    <row r="2" ht="15.75" customFormat="1" customHeight="1" s="42">
      <c r="A2" s="5" t="n"/>
      <c r="B2" s="6" t="n"/>
      <c r="C2" s="7" t="n"/>
      <c r="D2" s="158" t="n"/>
      <c r="E2" s="9" t="n"/>
      <c r="F2" s="10" t="n"/>
      <c r="G2" s="26" t="n"/>
      <c r="H2" s="26" t="n"/>
      <c r="I2" s="159" t="n"/>
      <c r="K2" s="13" t="n"/>
      <c r="L2" s="5" t="n"/>
      <c r="M2" s="42" t="inlineStr">
        <is>
          <t>Clôture</t>
        </is>
      </c>
      <c r="O2" s="42" t="inlineStr">
        <is>
          <t>Début</t>
        </is>
      </c>
      <c r="P2" s="15" t="inlineStr"/>
      <c r="S2" s="16" t="inlineStr">
        <is>
          <t>Ancienneté en jours</t>
        </is>
      </c>
      <c r="T2" s="16" t="inlineStr">
        <is>
          <t>Partie en années</t>
        </is>
      </c>
      <c r="U2" s="16" t="inlineStr">
        <is>
          <t>Partie en mois</t>
        </is>
      </c>
      <c r="V2" s="16" t="inlineStr">
        <is>
          <t>Partie en jours</t>
        </is>
      </c>
      <c r="W2" s="16" t="inlineStr">
        <is>
          <t>Ancienneté</t>
        </is>
      </c>
    </row>
    <row r="3" ht="17.4" customFormat="1" customHeight="1" s="42">
      <c r="A3" s="5" t="n"/>
      <c r="B3" s="6" t="n"/>
      <c r="C3" s="7" t="n"/>
      <c r="D3" s="160" t="n"/>
      <c r="E3" s="9" t="n"/>
      <c r="F3" s="10" t="n"/>
      <c r="G3" s="26" t="n"/>
      <c r="H3" s="26" t="n"/>
      <c r="I3" s="18" t="n"/>
      <c r="K3" s="13" t="n"/>
      <c r="L3" s="5" t="n"/>
      <c r="M3" s="42" t="n"/>
      <c r="O3" s="42" t="n"/>
      <c r="P3" s="15" t="n"/>
      <c r="S3" s="16" t="n"/>
      <c r="T3" s="16" t="n"/>
      <c r="U3" s="16" t="n"/>
      <c r="V3" s="16" t="n"/>
      <c r="W3" s="16" t="n"/>
    </row>
    <row r="4" ht="35.4" customFormat="1" customHeight="1" s="42">
      <c r="A4" s="5" t="n"/>
      <c r="B4" s="6" t="n"/>
      <c r="C4" s="7" t="n"/>
      <c r="D4" s="160" t="n"/>
      <c r="E4" s="9" t="n"/>
      <c r="F4" s="156" t="n"/>
      <c r="G4" s="26" t="n"/>
      <c r="H4" s="26" t="n"/>
      <c r="I4" s="19" t="n"/>
      <c r="K4" s="13" t="n"/>
      <c r="L4" s="5" t="n"/>
      <c r="M4" s="42" t="n"/>
      <c r="O4" s="42" t="n"/>
      <c r="P4" s="15" t="n"/>
      <c r="S4" s="16" t="n"/>
      <c r="T4" s="16" t="n"/>
      <c r="U4" s="16" t="n"/>
      <c r="V4" s="16" t="n"/>
      <c r="W4" s="16" t="n"/>
    </row>
    <row r="5" ht="15.75" customFormat="1" customHeight="1" s="42">
      <c r="A5" s="5" t="n"/>
      <c r="B5" s="6" t="n"/>
      <c r="C5" s="7" t="n"/>
      <c r="D5" s="160" t="n"/>
      <c r="E5" s="9" t="n"/>
      <c r="F5" s="10" t="n"/>
      <c r="G5" s="26" t="n"/>
      <c r="H5" s="26" t="n"/>
      <c r="I5" s="26" t="n"/>
      <c r="J5" s="26" t="n"/>
      <c r="K5" s="13" t="n"/>
      <c r="L5" s="5" t="n"/>
      <c r="M5" s="42" t="n"/>
      <c r="O5" s="42" t="n"/>
      <c r="P5" s="15" t="n"/>
      <c r="S5" s="16" t="n"/>
      <c r="T5" s="16" t="n"/>
      <c r="U5" s="16" t="n"/>
      <c r="V5" s="16" t="n"/>
      <c r="W5" s="16" t="n"/>
    </row>
    <row r="6" ht="15.75" customFormat="1" customHeight="1" s="42">
      <c r="A6" s="5" t="n"/>
      <c r="B6" s="6" t="n"/>
      <c r="C6" s="7" t="n"/>
      <c r="E6" s="9" t="n"/>
      <c r="F6" s="160" t="n"/>
      <c r="G6" s="26" t="n"/>
      <c r="H6" s="26" t="n"/>
      <c r="I6" s="26" t="n"/>
      <c r="J6" s="26" t="n"/>
      <c r="K6" s="13" t="n"/>
      <c r="L6" s="5" t="n"/>
      <c r="M6" s="42" t="n"/>
      <c r="O6" s="42" t="n"/>
      <c r="P6" s="15" t="n"/>
      <c r="S6" s="16" t="n"/>
      <c r="T6" s="16" t="n"/>
      <c r="U6" s="16" t="n"/>
      <c r="V6" s="16" t="n"/>
      <c r="W6" s="16" t="n"/>
    </row>
    <row r="7" ht="15.75" customFormat="1" customHeight="1" s="42">
      <c r="A7" s="5" t="n"/>
      <c r="C7" s="7" t="n"/>
      <c r="D7" s="7" t="n"/>
      <c r="E7" s="9" t="n"/>
      <c r="F7" s="10" t="n"/>
      <c r="G7" s="26" t="n"/>
      <c r="H7" s="26" t="n"/>
      <c r="I7" s="26" t="n"/>
      <c r="J7" s="26" t="n"/>
      <c r="K7" s="13" t="n"/>
      <c r="L7" s="5" t="n"/>
      <c r="M7" s="42" t="n"/>
      <c r="O7" s="42" t="n"/>
      <c r="P7" s="15" t="n"/>
      <c r="S7" s="16" t="n"/>
      <c r="T7" s="16" t="n"/>
      <c r="U7" s="16" t="n"/>
      <c r="V7" s="16" t="n"/>
      <c r="W7" s="16" t="n"/>
    </row>
    <row r="8" ht="15.75" customFormat="1" customHeight="1" s="42">
      <c r="A8" s="5" t="n"/>
      <c r="B8" s="6" t="n"/>
      <c r="C8" s="7" t="n"/>
      <c r="D8" s="7" t="n"/>
      <c r="E8" s="9" t="n"/>
      <c r="F8" s="10" t="n"/>
      <c r="G8" s="26" t="n"/>
      <c r="H8" s="26" t="n"/>
      <c r="I8" s="26" t="n"/>
      <c r="J8" s="26" t="n"/>
      <c r="K8" s="13" t="n"/>
      <c r="L8" s="5" t="n"/>
      <c r="M8" s="42" t="n"/>
      <c r="O8" s="42" t="n"/>
      <c r="P8" s="15" t="n"/>
      <c r="S8" s="16" t="n"/>
      <c r="T8" s="16" t="n"/>
      <c r="U8" s="16" t="n"/>
      <c r="V8" s="16" t="n"/>
      <c r="W8" s="16" t="n"/>
    </row>
    <row r="9" ht="15.75" customFormat="1" customHeight="1" s="42">
      <c r="A9" s="5" t="n"/>
      <c r="C9" s="20" t="n"/>
      <c r="D9" s="28" t="n"/>
      <c r="E9" s="9" t="n"/>
      <c r="F9" s="10" t="n"/>
      <c r="G9" s="26" t="n"/>
      <c r="H9" s="26" t="n"/>
      <c r="I9" s="26" t="n"/>
      <c r="J9" s="26" t="n"/>
      <c r="K9" s="13" t="n"/>
      <c r="L9" s="5" t="n"/>
      <c r="M9" s="42" t="n"/>
      <c r="O9" s="42" t="n"/>
      <c r="P9" s="15" t="n"/>
      <c r="S9" s="16" t="n"/>
      <c r="T9" s="16" t="n"/>
      <c r="U9" s="16" t="n"/>
      <c r="V9" s="16" t="n"/>
      <c r="W9" s="16" t="n"/>
    </row>
    <row r="10" ht="15.75" customFormat="1" customHeight="1" s="42">
      <c r="A10" s="5" t="n"/>
      <c r="C10" s="20" t="n"/>
      <c r="D10" s="28" t="n"/>
      <c r="E10" s="9" t="n"/>
      <c r="F10" s="10" t="n"/>
      <c r="G10" s="26" t="n"/>
      <c r="H10" s="26" t="n"/>
      <c r="I10" s="26" t="n"/>
      <c r="J10" s="26" t="n"/>
      <c r="K10" s="13" t="n"/>
      <c r="L10" s="5" t="n"/>
      <c r="M10" s="15" t="inlineStr"/>
      <c r="O10" s="42" t="inlineStr">
        <is>
          <t>Fin</t>
        </is>
      </c>
      <c r="P10" s="15" t="inlineStr"/>
      <c r="S10" s="161" t="n">
        <v>0</v>
      </c>
      <c r="T10" s="162" t="n">
        <v>0</v>
      </c>
      <c r="U10" s="163" t="n">
        <v>0</v>
      </c>
      <c r="V10" s="161" t="n">
        <v>0</v>
      </c>
      <c r="W10" s="25" t="inlineStr">
        <is>
          <t>0 an(s) 0 mois 0 jour(s)</t>
        </is>
      </c>
    </row>
    <row r="11" ht="15.6" customFormat="1" customHeight="1" s="42">
      <c r="A11" s="5" t="n"/>
      <c r="B11" s="28" t="n"/>
      <c r="C11" s="26" t="inlineStr">
        <is>
          <t>FICHE DE PAIE</t>
        </is>
      </c>
      <c r="D11" s="26" t="n"/>
      <c r="E11" s="26" t="n"/>
      <c r="F11" s="26" t="n"/>
      <c r="G11" s="26" t="n"/>
      <c r="H11" s="26" t="n"/>
      <c r="I11" s="26" t="n"/>
      <c r="J11" s="26" t="n"/>
      <c r="K11" s="26" t="n"/>
      <c r="L11" s="5" t="n"/>
    </row>
    <row r="12" ht="15.6" customFormat="1" customHeight="1" s="42">
      <c r="A12" s="5" t="n"/>
      <c r="B12" s="164">
        <f>M10</f>
        <v/>
      </c>
      <c r="C12" s="28" t="inlineStr">
        <is>
          <t>FICHE DE PAIE</t>
        </is>
      </c>
      <c r="D12" s="164" t="n"/>
      <c r="E12" s="164" t="n"/>
      <c r="F12" s="164" t="n"/>
      <c r="G12" s="164" t="n"/>
      <c r="H12" s="164" t="n"/>
      <c r="I12" s="164" t="n"/>
      <c r="J12" s="164" t="n"/>
      <c r="K12" s="26" t="n"/>
      <c r="L12" s="5" t="n"/>
      <c r="P12" s="165">
        <f>IF(OR(P2=0,P10=0),0,IF(P10-P2+1=VLOOKUP(TEXT(P10,"mm"),'[1]4-1 REFERENCE'!B1:C13,2,FALSE),"1 mois",IF(F15=0,0,P10-P2+1)))</f>
        <v/>
      </c>
    </row>
    <row r="13" ht="6" customFormat="1" customHeight="1" s="42">
      <c r="A13" s="5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5" t="n"/>
    </row>
    <row r="14" ht="13.2" customFormat="1" customHeight="1" s="42">
      <c r="A14" s="5" t="n"/>
      <c r="C14" s="50" t="n"/>
      <c r="D14" s="51" t="inlineStr">
        <is>
          <t>Nom et Prénoms :</t>
        </is>
      </c>
      <c r="F14" s="34" t="inlineStr">
        <is>
          <t>fandresena sarobidy</t>
        </is>
      </c>
      <c r="G14" s="43" t="n"/>
      <c r="H14" s="42" t="n"/>
      <c r="K14" s="42" t="n"/>
      <c r="L14" s="5" t="n"/>
    </row>
    <row r="15" ht="13.2" customFormat="1" customHeight="1" s="42">
      <c r="A15" s="5" t="n"/>
      <c r="C15" s="50" t="n"/>
      <c r="D15" s="51" t="inlineStr">
        <is>
          <t>Matricule :</t>
        </is>
      </c>
      <c r="F15" s="166" t="inlineStr">
        <is>
          <t>03</t>
        </is>
      </c>
      <c r="G15" s="167" t="n"/>
      <c r="H15" s="47" t="inlineStr">
        <is>
          <t>Classification :</t>
        </is>
      </c>
      <c r="J15" s="41" t="inlineStr"/>
      <c r="K15" s="42" t="n"/>
      <c r="L15" s="5" t="n"/>
      <c r="M15" s="42" t="inlineStr">
        <is>
          <t>Base congés</t>
        </is>
      </c>
    </row>
    <row r="16" ht="15.6" customFormat="1" customHeight="1" s="42">
      <c r="A16" s="5" t="n"/>
      <c r="C16" s="50" t="n"/>
      <c r="D16" s="51" t="inlineStr">
        <is>
          <t>Fonction :</t>
        </is>
      </c>
      <c r="F16" s="34" t="inlineStr">
        <is>
          <t>batiment publique</t>
        </is>
      </c>
      <c r="G16" s="43" t="n"/>
      <c r="H16" s="47" t="inlineStr">
        <is>
          <t>Salaire de base :</t>
        </is>
      </c>
      <c r="I16" s="43" t="n"/>
      <c r="J16" s="168" t="n">
        <v>65000</v>
      </c>
      <c r="K16" s="42" t="n"/>
      <c r="L16" s="5" t="n"/>
      <c r="M16" s="45" t="n">
        <v>65000</v>
      </c>
    </row>
    <row r="17" ht="13.2" customFormat="1" customHeight="1" s="42">
      <c r="A17" s="5" t="n"/>
      <c r="C17" s="50" t="n"/>
      <c r="D17" s="51" t="inlineStr">
        <is>
          <t>N° CNaPS :</t>
        </is>
      </c>
      <c r="F17" s="46" t="inlineStr">
        <is>
          <t>3215</t>
        </is>
      </c>
      <c r="G17" s="42" t="n"/>
      <c r="H17" s="47" t="inlineStr">
        <is>
          <t>Taux journaliers :</t>
        </is>
      </c>
      <c r="I17" s="43" t="n"/>
      <c r="J17" s="48">
        <f>ROUND(J16/30,0)</f>
        <v/>
      </c>
      <c r="K17" s="169" t="n"/>
      <c r="L17" s="5" t="n"/>
      <c r="M17" s="48" t="n">
        <v>2167</v>
      </c>
    </row>
    <row r="18" ht="13.2" customFormat="1" customHeight="1" s="42">
      <c r="A18" s="5" t="n"/>
      <c r="C18" s="50" t="n"/>
      <c r="D18" s="51" t="inlineStr">
        <is>
          <t>Date d'embauche :</t>
        </is>
      </c>
      <c r="F18" s="148" t="n">
        <v>45976</v>
      </c>
      <c r="G18" s="52" t="n"/>
      <c r="H18" s="47" t="inlineStr">
        <is>
          <t>Taux horaires :</t>
        </is>
      </c>
      <c r="I18" s="43" t="n"/>
      <c r="J18" s="48">
        <f>ROUND(J16/173.33,0)</f>
        <v/>
      </c>
      <c r="K18" s="169" t="n"/>
      <c r="L18" s="5" t="n"/>
      <c r="M18" s="48" t="n">
        <v>375</v>
      </c>
    </row>
    <row r="19" ht="13.2" customFormat="1" customHeight="1" s="42">
      <c r="A19" s="5" t="n"/>
      <c r="C19" s="50" t="n"/>
      <c r="D19" s="51" t="inlineStr">
        <is>
          <t>Ancienneté :</t>
        </is>
      </c>
      <c r="F19" s="53" t="inlineStr">
        <is>
          <t>1 jour</t>
        </is>
      </c>
      <c r="G19" s="43" t="n"/>
      <c r="H19" s="47" t="inlineStr">
        <is>
          <t>Indice :</t>
        </is>
      </c>
      <c r="J19" s="48">
        <f>ROUND(J18/1.334,0)</f>
        <v/>
      </c>
      <c r="K19" s="169" t="n"/>
      <c r="L19" s="5" t="n"/>
      <c r="M19" s="48" t="n">
        <v>1624</v>
      </c>
    </row>
    <row r="20" ht="6" customFormat="1" customHeight="1" s="42">
      <c r="A20" s="5" t="n"/>
      <c r="C20" s="50" t="n"/>
      <c r="D20" s="43" t="n"/>
      <c r="E20" s="43" t="n"/>
      <c r="F20" s="43" t="n"/>
      <c r="G20" s="43" t="n"/>
      <c r="H20" s="54" t="n"/>
      <c r="J20" s="169" t="n"/>
      <c r="K20" s="169" t="n"/>
      <c r="L20" s="5" t="n"/>
    </row>
    <row r="21" ht="13.2" customFormat="1" customHeight="1" s="64">
      <c r="A21" s="56" t="n"/>
      <c r="C21" s="58" t="inlineStr">
        <is>
          <t>Désignations</t>
        </is>
      </c>
      <c r="D21" s="59" t="n"/>
      <c r="E21" s="59" t="n"/>
      <c r="F21" s="59" t="n"/>
      <c r="G21" s="60" t="n"/>
      <c r="H21" s="62" t="inlineStr">
        <is>
          <t>Nombre</t>
        </is>
      </c>
      <c r="I21" s="62" t="inlineStr">
        <is>
          <t>Taux</t>
        </is>
      </c>
      <c r="J21" s="62" t="inlineStr">
        <is>
          <t>Montant</t>
        </is>
      </c>
      <c r="K21" s="64" t="n"/>
      <c r="L21" s="56" t="n"/>
    </row>
    <row r="22" ht="6" customFormat="1" customHeight="1" s="64">
      <c r="A22" s="56" t="n"/>
      <c r="C22" s="64" t="n"/>
      <c r="D22" s="64" t="n"/>
      <c r="E22" s="64" t="n"/>
      <c r="F22" s="64" t="n"/>
      <c r="G22" s="64" t="n"/>
      <c r="H22" s="64" t="n"/>
      <c r="J22" s="64" t="n"/>
      <c r="K22" s="64" t="n"/>
      <c r="L22" s="56" t="n"/>
    </row>
    <row r="23" ht="15" customFormat="1" customHeight="1" s="66">
      <c r="A23" s="65" t="n"/>
      <c r="C23" s="67" t="n"/>
      <c r="D23" s="68" t="inlineStr"/>
      <c r="E23" s="68" t="n"/>
      <c r="F23" s="68" t="n"/>
      <c r="G23" s="68" t="n"/>
      <c r="H23" s="170" t="inlineStr">
        <is>
          <t>1 mois</t>
        </is>
      </c>
      <c r="I23" s="70">
        <f>$J$17</f>
        <v/>
      </c>
      <c r="J23" s="70">
        <f>IF(H23="1 mois",J16,I23*H23)</f>
        <v/>
      </c>
      <c r="K23" s="71" t="n"/>
      <c r="L23" s="65" t="n"/>
      <c r="N23" s="72" t="n"/>
    </row>
    <row r="24" ht="15" customFormat="1" customHeight="1" s="66">
      <c r="A24" s="65" t="n"/>
      <c r="C24" s="73" t="n"/>
      <c r="D24" s="74" t="inlineStr">
        <is>
          <t>Absences déductibles</t>
        </is>
      </c>
      <c r="E24" s="74" t="n"/>
      <c r="F24" s="74" t="n"/>
      <c r="G24" s="74" t="n"/>
      <c r="H24" s="171" t="n"/>
      <c r="I24" s="76">
        <f>$J$17</f>
        <v/>
      </c>
      <c r="J24" s="76">
        <f>H24*I24</f>
        <v/>
      </c>
      <c r="K24" s="71" t="n"/>
      <c r="L24" s="65" t="n"/>
      <c r="N24" s="72" t="n"/>
    </row>
    <row r="25" ht="15" customFormat="1" customHeight="1" s="66">
      <c r="A25" s="65" t="n"/>
      <c r="C25" s="73" t="n"/>
      <c r="D25" s="74" t="inlineStr">
        <is>
          <t>Primes de rendement</t>
        </is>
      </c>
      <c r="E25" s="74" t="n"/>
      <c r="F25" s="74" t="n"/>
      <c r="G25" s="74" t="n"/>
      <c r="H25" s="172" t="n"/>
      <c r="I25" s="76" t="n"/>
      <c r="J25" s="78" t="n"/>
      <c r="K25" s="71" t="n"/>
      <c r="L25" s="65" t="n"/>
      <c r="N25" s="72" t="n"/>
    </row>
    <row r="26" ht="15" customFormat="1" customHeight="1" s="66">
      <c r="A26" s="65" t="n"/>
      <c r="C26" s="73" t="n"/>
      <c r="D26" s="74" t="inlineStr">
        <is>
          <t>Primes d'ancienneté</t>
        </is>
      </c>
      <c r="E26" s="74" t="n"/>
      <c r="F26" s="74" t="n"/>
      <c r="G26" s="74" t="n"/>
      <c r="H26" s="172" t="n"/>
      <c r="I26" s="76" t="n"/>
      <c r="J26" s="79" t="n"/>
      <c r="K26" s="71" t="n"/>
      <c r="L26" s="65" t="n"/>
      <c r="N26" s="72" t="n"/>
    </row>
    <row r="27" ht="15" customFormat="1" customHeight="1" s="66">
      <c r="A27" s="65" t="n"/>
      <c r="C27" s="73" t="n"/>
      <c r="D27" s="74" t="inlineStr">
        <is>
          <t>Heures supplémentaires majorées de 30%</t>
        </is>
      </c>
      <c r="E27" s="74" t="n"/>
      <c r="F27" s="74" t="n"/>
      <c r="G27" s="74" t="n"/>
      <c r="H27" s="173" t="n"/>
      <c r="I27" s="76">
        <f>ROUND($J$18*1.3,0)</f>
        <v/>
      </c>
      <c r="J27" s="76">
        <f>+H27*I27</f>
        <v/>
      </c>
      <c r="K27" s="71" t="n"/>
      <c r="L27" s="65" t="n"/>
      <c r="M27" s="174" t="n"/>
      <c r="N27" s="72" t="n"/>
    </row>
    <row r="28" ht="15" customFormat="1" customHeight="1" s="66">
      <c r="A28" s="65" t="n"/>
      <c r="C28" s="73" t="n"/>
      <c r="D28" s="74" t="inlineStr">
        <is>
          <t>Heures supplémentaires majorées de 40%</t>
        </is>
      </c>
      <c r="E28" s="74" t="n"/>
      <c r="F28" s="74" t="n"/>
      <c r="G28" s="74" t="n"/>
      <c r="H28" s="173" t="n"/>
      <c r="I28" s="76">
        <f>ROUND($J$18*1.4,0)</f>
        <v/>
      </c>
      <c r="J28" s="76">
        <f>+H28*I28</f>
        <v/>
      </c>
      <c r="K28" s="71" t="n"/>
      <c r="L28" s="65" t="n"/>
      <c r="N28" s="72" t="n"/>
    </row>
    <row r="29" ht="15" customFormat="1" customHeight="1" s="66">
      <c r="A29" s="65" t="n"/>
      <c r="C29" s="73" t="n"/>
      <c r="D29" s="74" t="inlineStr">
        <is>
          <t>Heures supplémentaires majorées de 50%</t>
        </is>
      </c>
      <c r="E29" s="74" t="n"/>
      <c r="F29" s="74" t="n"/>
      <c r="G29" s="74" t="n"/>
      <c r="H29" s="173" t="n"/>
      <c r="I29" s="76">
        <f>ROUND($J$18*1.5,0)</f>
        <v/>
      </c>
      <c r="J29" s="76">
        <f>+H29*I29</f>
        <v/>
      </c>
      <c r="K29" s="71" t="n"/>
      <c r="L29" s="65" t="n"/>
      <c r="N29" s="72" t="n"/>
    </row>
    <row r="30" ht="15" customFormat="1" customHeight="1" s="66">
      <c r="A30" s="65" t="n"/>
      <c r="C30" s="73" t="n"/>
      <c r="D30" s="74" t="inlineStr">
        <is>
          <t>Heures supplémentaires majorées de 100%</t>
        </is>
      </c>
      <c r="E30" s="74" t="n"/>
      <c r="F30" s="74" t="n"/>
      <c r="G30" s="74" t="n"/>
      <c r="H30" s="173" t="n"/>
      <c r="I30" s="76">
        <f>ROUND($J$18*2,0)</f>
        <v/>
      </c>
      <c r="J30" s="76">
        <f>+H30*I30</f>
        <v/>
      </c>
      <c r="K30" s="71" t="n"/>
      <c r="L30" s="65" t="n"/>
      <c r="N30" s="72" t="n"/>
    </row>
    <row r="31" ht="15" customFormat="1" customHeight="1" s="66">
      <c r="A31" s="65" t="n"/>
      <c r="C31" s="73" t="n"/>
      <c r="D31" s="74" t="inlineStr">
        <is>
          <t>Majoration pour heures de nuit</t>
        </is>
      </c>
      <c r="E31" s="74" t="n"/>
      <c r="F31" s="74" t="n"/>
      <c r="G31" s="74" t="n"/>
      <c r="H31" s="173" t="n"/>
      <c r="I31" s="76">
        <f>ROUND($J$18*0.3,0)</f>
        <v/>
      </c>
      <c r="J31" s="76">
        <f>+H31*I31</f>
        <v/>
      </c>
      <c r="K31" s="71" t="n"/>
      <c r="L31" s="65" t="n"/>
      <c r="N31" s="72" t="n"/>
    </row>
    <row r="32" ht="15" customFormat="1" customHeight="1" s="66">
      <c r="A32" s="65" t="n"/>
      <c r="C32" s="73" t="n"/>
      <c r="D32" s="74" t="inlineStr">
        <is>
          <t>Primes diverses</t>
        </is>
      </c>
      <c r="E32" s="74" t="n"/>
      <c r="F32" s="74" t="n"/>
      <c r="G32" s="74" t="n"/>
      <c r="H32" s="175" t="n"/>
      <c r="I32" s="83" t="n"/>
      <c r="J32" s="79" t="n"/>
      <c r="K32" s="71" t="n"/>
      <c r="L32" s="65" t="n"/>
      <c r="N32" s="72" t="n"/>
    </row>
    <row r="33" ht="15" customFormat="1" customHeight="1" s="66">
      <c r="A33" s="65" t="n"/>
      <c r="C33" s="73" t="n"/>
      <c r="D33" s="74" t="inlineStr">
        <is>
          <t>Rappels sur période antérieure</t>
        </is>
      </c>
      <c r="E33" s="84" t="n"/>
      <c r="F33" s="84" t="n"/>
      <c r="G33" s="85" t="n"/>
      <c r="H33" s="171" t="n"/>
      <c r="I33" s="76" t="n"/>
      <c r="J33" s="76" t="n"/>
      <c r="K33" s="71" t="n"/>
      <c r="L33" s="65" t="n"/>
      <c r="N33" s="72" t="n"/>
    </row>
    <row r="34" ht="15" customFormat="1" customHeight="1" s="66">
      <c r="A34" s="65" t="n"/>
      <c r="C34" s="73" t="n"/>
      <c r="D34" s="74" t="inlineStr">
        <is>
          <t>Droits de congés</t>
        </is>
      </c>
      <c r="E34" s="84" t="n"/>
      <c r="F34" s="84" t="n"/>
      <c r="G34" s="85" t="n"/>
      <c r="H34" s="171" t="n"/>
      <c r="I34" s="76">
        <f>IF($M$17=0,$J$17,$M$17)</f>
        <v/>
      </c>
      <c r="J34" s="76">
        <f>H34*I34</f>
        <v/>
      </c>
      <c r="K34" s="71" t="n"/>
      <c r="L34" s="65" t="n"/>
      <c r="N34" s="72" t="n"/>
    </row>
    <row r="35" ht="15" customFormat="1" customHeight="1" s="66">
      <c r="A35" s="65" t="n"/>
      <c r="C35" s="73" t="n"/>
      <c r="D35" s="74" t="inlineStr">
        <is>
          <t>Droits de préavis</t>
        </is>
      </c>
      <c r="E35" s="84" t="n"/>
      <c r="F35" s="84" t="n"/>
      <c r="G35" s="85" t="n"/>
      <c r="H35" s="171" t="n"/>
      <c r="I35" s="76">
        <f>$J$17+I25</f>
        <v/>
      </c>
      <c r="J35" s="76">
        <f>H35*I35</f>
        <v/>
      </c>
      <c r="K35" s="71" t="n"/>
      <c r="L35" s="65" t="n"/>
      <c r="N35" s="72" t="n"/>
    </row>
    <row r="36" ht="15" customFormat="1" customHeight="1" s="66">
      <c r="A36" s="65" t="n"/>
      <c r="C36" s="73" t="n"/>
      <c r="D36" s="74" t="inlineStr">
        <is>
          <t>Indemnités de licenciement</t>
        </is>
      </c>
      <c r="E36" s="84" t="n"/>
      <c r="F36" s="84" t="n"/>
      <c r="G36" s="85" t="n"/>
      <c r="H36" s="171" t="n"/>
      <c r="I36" s="76">
        <f>IF($M$17=0,$J$17,$M$17)</f>
        <v/>
      </c>
      <c r="J36" s="76">
        <f>H36*I36</f>
        <v/>
      </c>
      <c r="K36" s="71" t="n"/>
      <c r="L36" s="65" t="n"/>
      <c r="N36" s="72" t="n"/>
    </row>
    <row r="37" ht="15" customFormat="1" customHeight="1" s="66">
      <c r="A37" s="65" t="n"/>
      <c r="C37" s="86" t="n"/>
      <c r="D37" s="87" t="n"/>
      <c r="E37" s="88" t="n"/>
      <c r="F37" s="88" t="n"/>
      <c r="G37" s="89" t="n"/>
      <c r="H37" s="176" t="n"/>
      <c r="I37" s="91" t="n"/>
      <c r="J37" s="92" t="inlineStr">
        <is>
          <t>A</t>
        </is>
      </c>
      <c r="K37" s="71" t="n"/>
      <c r="L37" s="65" t="n"/>
      <c r="N37" s="72" t="n"/>
    </row>
    <row r="38" ht="15" customFormat="1" customHeight="1" s="42">
      <c r="A38" s="5" t="n"/>
      <c r="H38" s="93" t="n"/>
      <c r="I38" s="94" t="inlineStr">
        <is>
          <t>Salaire brut</t>
        </is>
      </c>
      <c r="J38" s="95">
        <f>SUBTOTAL(9,J23:J37)</f>
        <v/>
      </c>
      <c r="K38" s="124" t="n"/>
      <c r="L38" s="5" t="n"/>
      <c r="N38" s="135" t="n"/>
    </row>
    <row r="39" ht="6" customFormat="1" customHeight="1" s="42">
      <c r="A39" s="5" t="n"/>
      <c r="H39" s="42" t="n"/>
      <c r="I39" s="110" t="n"/>
      <c r="J39" s="110" t="n"/>
      <c r="K39" s="110" t="n"/>
      <c r="L39" s="5" t="n"/>
    </row>
    <row r="40" ht="15" customFormat="1" customHeight="1" s="42">
      <c r="A40" s="5" t="n"/>
      <c r="C40" s="100" t="n"/>
      <c r="D40" s="103" t="n"/>
      <c r="E40" s="102" t="n"/>
      <c r="F40" s="102" t="n"/>
      <c r="G40" s="103" t="inlineStr">
        <is>
          <t>Retenue CNaPS 1%</t>
        </is>
      </c>
      <c r="H40" s="103" t="n"/>
      <c r="I40" s="149" t="n"/>
      <c r="J40" s="155">
        <f>+IF((J38*1%)&lt;M40,(J38*1%),M40)</f>
        <v/>
      </c>
      <c r="K40" s="110" t="n"/>
      <c r="L40" s="5" t="n"/>
      <c r="M40" s="135" t="n">
        <v>3500</v>
      </c>
      <c r="N40" s="42" t="inlineStr">
        <is>
          <t>Plafond</t>
        </is>
      </c>
      <c r="O40" s="104" t="n"/>
      <c r="P40" s="10" t="n"/>
    </row>
    <row r="41" ht="15" customFormat="1" customHeight="1" s="42">
      <c r="A41" s="5" t="n"/>
      <c r="C41" s="105" t="n"/>
      <c r="D41" s="108" t="n"/>
      <c r="E41" s="107" t="n"/>
      <c r="F41" s="107" t="n"/>
      <c r="G41" s="108" t="inlineStr">
        <is>
          <t>Retenue sanitaire</t>
        </is>
      </c>
      <c r="H41" s="108" t="n"/>
      <c r="I41" s="150" t="n"/>
      <c r="J41" s="109">
        <f>+J38*1%</f>
        <v/>
      </c>
      <c r="K41" s="110" t="n"/>
      <c r="L41" s="5" t="n"/>
      <c r="M41" s="110" t="n"/>
      <c r="O41" s="104" t="n"/>
      <c r="P41" s="10" t="n"/>
    </row>
    <row r="42" ht="15" customFormat="1" customHeight="1" s="42">
      <c r="A42" s="5" t="n"/>
      <c r="C42" s="105" t="n"/>
      <c r="D42" s="108" t="n"/>
      <c r="E42" s="107" t="n"/>
      <c r="F42" s="107" t="n"/>
      <c r="G42" s="108" t="inlineStr">
        <is>
          <t>Tranche IRSA INF 350 0000</t>
        </is>
      </c>
      <c r="H42" s="108" t="n"/>
      <c r="I42" s="152" t="n">
        <v>0</v>
      </c>
      <c r="J42" s="150" t="n">
        <v>0</v>
      </c>
      <c r="K42" s="110" t="n"/>
      <c r="L42" s="5" t="n"/>
      <c r="M42" s="135" t="n"/>
      <c r="O42" s="135" t="n"/>
      <c r="P42" s="135" t="n"/>
    </row>
    <row r="43" ht="15" customFormat="1" customHeight="1" s="42">
      <c r="A43" s="5" t="n"/>
      <c r="C43" s="105" t="n"/>
      <c r="D43" s="108" t="n"/>
      <c r="E43" s="107" t="n"/>
      <c r="F43" s="107" t="n"/>
      <c r="G43" s="108" t="inlineStr">
        <is>
          <t>Tranche IRSA DE 350 0001 à 400 000</t>
        </is>
      </c>
      <c r="H43" s="108" t="n"/>
      <c r="I43" s="152" t="n">
        <v>0.05</v>
      </c>
      <c r="J43" s="177" t="n">
        <v>0</v>
      </c>
      <c r="K43" s="110" t="n"/>
      <c r="L43" s="5" t="n"/>
      <c r="M43" s="110" t="n"/>
      <c r="O43" s="110" t="n"/>
      <c r="P43" s="110">
        <f>P42*5</f>
        <v/>
      </c>
    </row>
    <row r="44" ht="15" customFormat="1" customHeight="1" s="42">
      <c r="A44" s="5" t="n"/>
      <c r="C44" s="105" t="n"/>
      <c r="D44" s="108" t="n"/>
      <c r="E44" s="107" t="n"/>
      <c r="F44" s="107" t="n"/>
      <c r="G44" s="108" t="inlineStr">
        <is>
          <t>Tranche IRSA DE 400 0001 à 500 000</t>
        </is>
      </c>
      <c r="H44" s="108" t="n"/>
      <c r="I44" s="152" t="n">
        <v>0.1</v>
      </c>
      <c r="J44" s="177" t="n">
        <v>0</v>
      </c>
      <c r="K44" s="110" t="n"/>
      <c r="L44" s="5" t="n"/>
      <c r="M44" s="110" t="n"/>
      <c r="O44" s="110" t="n"/>
    </row>
    <row r="45" ht="15" customFormat="1" customHeight="1" s="42">
      <c r="A45" s="5" t="n"/>
      <c r="C45" s="105" t="n"/>
      <c r="D45" s="108" t="n"/>
      <c r="E45" s="107" t="n"/>
      <c r="F45" s="107" t="n"/>
      <c r="G45" s="108" t="inlineStr">
        <is>
          <t>Tranche IRSA DE 500 001 à 600 000</t>
        </is>
      </c>
      <c r="H45" s="108" t="n"/>
      <c r="I45" s="152" t="n">
        <v>0.15</v>
      </c>
      <c r="J45" s="177" t="n">
        <v>0</v>
      </c>
      <c r="K45" s="110" t="n"/>
      <c r="L45" s="5" t="n"/>
      <c r="M45" s="110" t="n"/>
      <c r="O45" s="110" t="n"/>
    </row>
    <row r="46" ht="15" customFormat="1" customHeight="1" s="42">
      <c r="A46" s="5" t="n"/>
      <c r="C46" s="105" t="n"/>
      <c r="D46" s="108" t="n"/>
      <c r="E46" s="107" t="n"/>
      <c r="F46" s="107" t="n"/>
      <c r="G46" s="108" t="inlineStr">
        <is>
          <t>Tranche IRSA DE 600 001 à 4000 000</t>
        </is>
      </c>
      <c r="H46" s="108" t="n"/>
      <c r="I46" s="152" t="n">
        <v>0.2</v>
      </c>
      <c r="J46" s="177" t="n">
        <v>0</v>
      </c>
      <c r="K46" s="110" t="n"/>
      <c r="L46" s="5" t="n"/>
      <c r="M46" s="110" t="n"/>
      <c r="O46" s="110" t="n"/>
    </row>
    <row r="47" ht="15" customFormat="1" customHeight="1" s="42">
      <c r="A47" s="5" t="n"/>
      <c r="C47" s="105" t="n"/>
      <c r="D47" s="108" t="n"/>
      <c r="E47" s="107" t="n"/>
      <c r="F47" s="107" t="n"/>
      <c r="G47" s="108" t="inlineStr">
        <is>
          <t>Tranche IRSA PLUS DE 4000 000</t>
        </is>
      </c>
      <c r="H47" s="108" t="n"/>
      <c r="I47" s="152" t="n">
        <v>0.25</v>
      </c>
      <c r="J47" s="177" t="n">
        <v>0</v>
      </c>
      <c r="K47" s="110" t="n"/>
      <c r="L47" s="5" t="n"/>
      <c r="M47" s="110" t="n"/>
      <c r="O47" s="110" t="n"/>
    </row>
    <row r="48" ht="15" customFormat="1" customHeight="1" s="42">
      <c r="A48" s="5" t="n"/>
      <c r="C48" s="105" t="n"/>
      <c r="D48" s="108" t="n"/>
      <c r="E48" s="107" t="n"/>
      <c r="F48" s="107" t="n"/>
      <c r="G48" s="108" t="n"/>
      <c r="H48" s="108" t="n"/>
      <c r="I48" s="152" t="n"/>
      <c r="J48" s="111">
        <f>SUM(J42:J47)</f>
        <v/>
      </c>
      <c r="K48" s="110" t="n"/>
      <c r="L48" s="5" t="n"/>
      <c r="M48" s="110" t="n"/>
      <c r="O48" s="110" t="n"/>
    </row>
    <row r="49" ht="15" customFormat="1" customHeight="1" s="42">
      <c r="A49" s="5" t="n"/>
      <c r="C49" s="105" t="n"/>
      <c r="D49" s="108" t="n"/>
      <c r="E49" s="107" t="n"/>
      <c r="F49" s="107" t="n"/>
      <c r="G49" s="153" t="inlineStr">
        <is>
          <t>TOTAL IRSA</t>
        </is>
      </c>
      <c r="H49" s="108" t="n"/>
      <c r="I49" s="150" t="n"/>
      <c r="J49" s="154">
        <f>J40+J41+J48</f>
        <v/>
      </c>
      <c r="K49" s="110" t="n"/>
      <c r="L49" s="5" t="n"/>
      <c r="M49" s="110" t="n"/>
      <c r="O49" s="135" t="n"/>
    </row>
    <row r="50" ht="15" customFormat="1" customHeight="1" s="42">
      <c r="A50" s="5" t="n"/>
      <c r="C50" s="112" t="n"/>
      <c r="D50" s="115" t="n"/>
      <c r="E50" s="114" t="n"/>
      <c r="F50" s="114" t="n"/>
      <c r="G50" s="115" t="n"/>
      <c r="H50" s="115" t="n"/>
      <c r="I50" s="151" t="n"/>
      <c r="J50" s="116" t="n"/>
      <c r="K50" s="110" t="n"/>
      <c r="L50" s="5" t="n"/>
      <c r="M50" s="110" t="n"/>
      <c r="O50" s="135" t="n"/>
    </row>
    <row r="51" ht="15" customFormat="1" customHeight="1" s="42">
      <c r="A51" s="5" t="n"/>
      <c r="C51" s="42" t="n"/>
      <c r="D51" s="42" t="n"/>
      <c r="E51" s="42" t="n"/>
      <c r="F51" s="42" t="n"/>
      <c r="G51" s="42" t="n"/>
      <c r="H51" s="93" t="n"/>
      <c r="I51" s="94" t="inlineStr">
        <is>
          <t>Total des retenues</t>
        </is>
      </c>
      <c r="J51" s="95">
        <f>SUM(J49,J40,J41)</f>
        <v/>
      </c>
      <c r="K51" s="124" t="n"/>
      <c r="L51" s="5" t="n"/>
      <c r="O51" s="135" t="n"/>
    </row>
    <row r="52" ht="15" customFormat="1" customHeight="1" s="118">
      <c r="A52" s="117" t="n"/>
      <c r="D52" s="42" t="n"/>
      <c r="G52" s="119" t="n"/>
      <c r="I52" s="120" t="inlineStr">
        <is>
          <t>Autres indemnités</t>
        </is>
      </c>
      <c r="J52" s="121" t="n"/>
      <c r="K52" s="122" t="n"/>
      <c r="L52" s="117" t="n"/>
      <c r="O52" s="123" t="n"/>
    </row>
    <row r="53" ht="13.2" customFormat="1" customHeight="1" s="42">
      <c r="A53" s="5" t="n"/>
      <c r="C53" s="42" t="n"/>
      <c r="E53" s="42" t="n"/>
      <c r="F53" s="42" t="n"/>
      <c r="G53" s="42" t="n"/>
      <c r="H53" s="42" t="n"/>
      <c r="I53" s="124" t="n"/>
      <c r="J53" s="125">
        <f>J38-J49+J52</f>
        <v/>
      </c>
      <c r="K53" s="124" t="n"/>
      <c r="L53" s="5" t="n"/>
      <c r="O53" s="135" t="n"/>
    </row>
    <row r="54" ht="15" customFormat="1" customHeight="1" s="42">
      <c r="A54" s="5" t="n"/>
      <c r="C54" s="42" t="n"/>
      <c r="E54" s="42" t="n"/>
      <c r="F54" s="42" t="n"/>
      <c r="G54" s="42" t="n"/>
      <c r="H54" s="93" t="n"/>
      <c r="I54" s="94" t="inlineStr">
        <is>
          <t>Net à payer</t>
        </is>
      </c>
      <c r="J54" s="126">
        <f>+J38-J51+J52</f>
        <v/>
      </c>
      <c r="K54" s="124" t="n"/>
      <c r="L54" s="5" t="n"/>
      <c r="M54" s="135" t="n"/>
      <c r="O54" s="135" t="n"/>
    </row>
    <row r="55" ht="15" customFormat="1" customHeight="1" s="42">
      <c r="A55" s="5" t="n"/>
      <c r="C55" s="42" t="n"/>
      <c r="E55" s="42" t="n"/>
      <c r="F55" s="42" t="n"/>
      <c r="G55" s="42" t="n"/>
      <c r="H55" s="93" t="n"/>
      <c r="I55" s="94" t="n"/>
      <c r="J55" s="125" t="n"/>
      <c r="K55" s="124" t="n"/>
      <c r="L55" s="5" t="n"/>
      <c r="M55" s="135" t="n"/>
      <c r="O55" s="135" t="n"/>
    </row>
    <row r="56" ht="15" customFormat="1" customHeight="1" s="42">
      <c r="A56" s="5" t="n"/>
      <c r="C56" s="42" t="n"/>
      <c r="D56" s="42" t="n"/>
      <c r="E56" s="42" t="n"/>
      <c r="F56" s="42" t="n"/>
      <c r="G56" s="42" t="n"/>
      <c r="H56" s="93" t="n"/>
      <c r="I56" s="94" t="n"/>
      <c r="J56" s="125" t="n"/>
      <c r="K56" s="124" t="n"/>
      <c r="L56" s="5" t="n"/>
      <c r="M56" s="135" t="n"/>
      <c r="O56" s="135" t="n"/>
    </row>
    <row r="57" ht="13.2" customFormat="1" customHeight="1" s="42">
      <c r="A57" s="5" t="n"/>
      <c r="C57" s="127" t="inlineStr">
        <is>
          <t>Avantages en nature :</t>
        </is>
      </c>
      <c r="D57" s="128" t="n"/>
      <c r="E57" s="129" t="n"/>
      <c r="F57" s="130" t="n"/>
      <c r="G57" s="131" t="n"/>
      <c r="H57" s="93" t="n"/>
      <c r="I57" s="94" t="n"/>
      <c r="J57" s="125" t="n"/>
      <c r="K57" s="124" t="n"/>
      <c r="L57" s="5" t="n"/>
      <c r="O57" s="135" t="n"/>
    </row>
    <row r="58" ht="13.2" customFormat="1" customHeight="1" s="42">
      <c r="A58" s="5" t="n"/>
      <c r="C58" s="178" t="inlineStr">
        <is>
          <t>Déductions IRSA :</t>
        </is>
      </c>
      <c r="D58" s="51" t="n"/>
      <c r="F58" s="133" t="n"/>
      <c r="G58" s="131" t="n"/>
      <c r="I58" s="134" t="n"/>
      <c r="J58" s="135" t="n"/>
      <c r="K58" s="124" t="n"/>
      <c r="L58" s="5" t="n"/>
      <c r="O58" s="135" t="n"/>
    </row>
    <row r="59" ht="13.2" customFormat="1" customHeight="1" s="42">
      <c r="A59" s="5" t="n"/>
      <c r="C59" s="136" t="inlineStr">
        <is>
          <t>Montant imposable :</t>
        </is>
      </c>
      <c r="D59" s="137" t="n"/>
      <c r="E59" s="137" t="n"/>
      <c r="F59" s="138">
        <f>J38-J40-J41</f>
        <v/>
      </c>
      <c r="G59" s="131" t="n"/>
      <c r="H59" s="93" t="n"/>
      <c r="I59" s="94" t="n"/>
      <c r="J59" s="125" t="n"/>
      <c r="K59" s="124" t="n"/>
      <c r="L59" s="5" t="n"/>
      <c r="M59" s="135" t="n"/>
      <c r="O59" s="110" t="n"/>
    </row>
    <row r="60" ht="6" customFormat="1" customHeight="1" s="42">
      <c r="A60" s="5" t="n"/>
      <c r="C60" s="42" t="n"/>
      <c r="D60" s="42" t="n"/>
      <c r="E60" s="139" t="n"/>
      <c r="F60" s="42" t="n"/>
      <c r="G60" s="42" t="n"/>
      <c r="H60" s="93" t="n"/>
      <c r="I60" s="94" t="n"/>
      <c r="J60" s="124" t="n"/>
      <c r="K60" s="124" t="n"/>
      <c r="L60" s="5" t="n"/>
      <c r="P60" s="110" t="n"/>
    </row>
    <row r="61" ht="13.2" customFormat="1" customHeight="1" s="42">
      <c r="A61" s="5" t="n"/>
      <c r="D61" s="140" t="inlineStr">
        <is>
          <t>Mode de paiement :</t>
        </is>
      </c>
      <c r="E61" s="141" t="n"/>
      <c r="F61" s="142" t="inlineStr">
        <is>
          <t>Virement/chèque</t>
        </is>
      </c>
      <c r="G61" s="143" t="n"/>
      <c r="H61" s="20" t="n"/>
      <c r="I61" s="143" t="n"/>
      <c r="J61" s="20" t="n"/>
      <c r="K61" s="110" t="n"/>
      <c r="L61" s="5" t="n"/>
      <c r="O61" s="110" t="n"/>
      <c r="P61" s="110" t="n"/>
    </row>
    <row r="62" ht="6" customFormat="1" customHeight="1" s="42">
      <c r="A62" s="5" t="n"/>
      <c r="H62" s="42" t="n"/>
      <c r="I62" s="110" t="n"/>
      <c r="J62" s="110" t="n"/>
      <c r="K62" s="110" t="n"/>
      <c r="L62" s="5" t="n"/>
      <c r="P62" s="110" t="n"/>
    </row>
    <row r="63" ht="13.2" customFormat="1" customHeight="1" s="42">
      <c r="A63" s="5" t="n"/>
      <c r="C63" s="146" t="n"/>
      <c r="D63" s="145" t="inlineStr">
        <is>
          <t>L'employeur</t>
        </is>
      </c>
      <c r="E63" s="145" t="n"/>
      <c r="F63" s="145" t="n"/>
      <c r="G63" s="146" t="n"/>
      <c r="H63" s="139" t="n"/>
      <c r="I63" s="146" t="inlineStr">
        <is>
          <t>L'employé(e)</t>
        </is>
      </c>
      <c r="J63" s="146" t="n"/>
      <c r="K63" s="146" t="n"/>
      <c r="L63" s="5" t="n"/>
      <c r="P63" s="110" t="n"/>
    </row>
    <row r="64" ht="14.4" customFormat="1" customHeight="1" s="42">
      <c r="A64" s="5" t="n"/>
      <c r="C64" s="146" t="n"/>
      <c r="E64" s="157" t="n"/>
      <c r="G64" s="146" t="n"/>
      <c r="H64" s="139" t="n"/>
      <c r="I64" s="146" t="n"/>
      <c r="J64" s="146" t="n"/>
      <c r="K64" s="146" t="n"/>
      <c r="L64" s="5" t="n"/>
      <c r="P64" s="110" t="n"/>
    </row>
    <row r="65" ht="12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P65" s="147" t="n"/>
    </row>
    <row r="66" hidden="1" ht="13.2" customHeight="1"/>
    <row r="67" hidden="1" ht="13.2" customHeight="1"/>
    <row r="68" hidden="1" ht="13.2" customHeight="1"/>
    <row r="69" hidden="1" ht="13.2" customHeight="1"/>
    <row r="70" hidden="1" ht="13.2" customHeight="1"/>
    <row r="71" hidden="1" ht="13.2" customHeight="1"/>
    <row r="72" hidden="1" ht="13.2" customHeight="1"/>
    <row r="73" hidden="1" ht="13.2" customHeight="1"/>
    <row r="74" hidden="1" ht="13.2" customHeight="1"/>
    <row r="75" hidden="1" ht="13.2" customHeight="1"/>
    <row r="76" hidden="1" ht="13.2" customHeight="1"/>
    <row r="77" hidden="1" ht="13.2" customHeight="1"/>
    <row r="78" hidden="1" ht="13.2" customHeight="1"/>
    <row r="79" hidden="1" ht="13.2" customHeight="1"/>
    <row r="80" hidden="1" ht="13.2" customHeight="1"/>
    <row r="81" hidden="1" ht="13.2" customHeight="1"/>
    <row r="82" hidden="1" ht="13.2" customHeight="1"/>
    <row r="83" hidden="1" ht="13.2" customHeight="1"/>
    <row r="84" hidden="1" ht="13.2" customHeight="1"/>
    <row r="85" hidden="1" ht="13.2" customHeight="1"/>
    <row r="86" hidden="1" ht="13.2" customHeight="1"/>
    <row r="87" hidden="1" ht="13.2" customHeight="1"/>
    <row r="88" hidden="1" ht="13.2" customHeight="1"/>
    <row r="89" hidden="1" ht="13.2" customHeight="1"/>
    <row r="90" hidden="1" ht="13.2" customHeight="1"/>
    <row r="91" hidden="1" ht="13.2" customHeight="1"/>
    <row r="92" hidden="1" ht="13.2" customHeight="1"/>
    <row r="93" hidden="1" ht="13.2" customHeight="1"/>
    <row r="94" hidden="1" ht="13.2" customHeight="1"/>
    <row r="95" hidden="1" ht="13.2" customHeight="1"/>
    <row r="96" ht="13.2" customHeight="1"/>
    <row r="97" ht="13.2" customHeight="1"/>
    <row r="98" ht="13.2" customHeight="1"/>
    <row r="99" ht="13.2" customHeight="1"/>
    <row r="100" ht="13.2" customHeight="1"/>
    <row r="101" ht="13.2" customHeight="1"/>
  </sheetData>
  <autoFilter ref="H22:J37"/>
  <printOptions horizontalCentered="1"/>
  <pageMargins left="0" right="0" top="0.7874015748031497" bottom="0.7874015748031497" header="0" footer="0"/>
  <pageSetup orientation="portrait" paperSize="9" scale="69" fitToHeight="5000" horizontalDpi="400" verticalDpi="4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Tovo</dc:creator>
  <dcterms:created xsi:type="dcterms:W3CDTF">2022-07-06T05:29:44Z</dcterms:created>
  <dcterms:modified xsi:type="dcterms:W3CDTF">2025-11-16T08:29:54Z</dcterms:modified>
  <cp:lastModifiedBy>ME-PC</cp:lastModifiedBy>
  <cp:lastPrinted>2023-07-12T09:19:32Z</cp:lastPrinted>
</cp:coreProperties>
</file>