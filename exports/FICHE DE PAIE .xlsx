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VO\Cours Gestion\RH\"/>
    </mc:Choice>
  </mc:AlternateContent>
  <bookViews>
    <workbookView xWindow="0" yWindow="0" windowWidth="23040" windowHeight="9192"/>
  </bookViews>
  <sheets>
    <sheet name="FICHE" sheetId="1" r:id="rId1"/>
  </sheets>
  <externalReferences>
    <externalReference r:id="rId2"/>
  </externalReferences>
  <definedNames>
    <definedName name="_xlnm._FilterDatabase" localSheetId="0" hidden="1">FICHE!$H$22:$J$37</definedName>
    <definedName name="A.nature">#REF!</definedName>
    <definedName name="Acomptes">#REF!</definedName>
    <definedName name="Acpte">#REF!</definedName>
    <definedName name="Autres">#REF!</definedName>
    <definedName name="Avantages">#REF!</definedName>
    <definedName name="base">#REF!</definedName>
    <definedName name="Brut">#REF!</definedName>
    <definedName name="Calendrier">#REF!</definedName>
    <definedName name="CNaPS">#REF!</definedName>
    <definedName name="LISTE">#REF!</definedName>
    <definedName name="Montant">#REF!</definedName>
    <definedName name="OSTIE">#REF!</definedName>
    <definedName name="_xlnm.Print_Area" localSheetId="0">FICHE!$B$2:$K$64</definedName>
  </definedNames>
  <calcPr calcId="162913"/>
</workbook>
</file>

<file path=xl/calcChain.xml><?xml version="1.0" encoding="utf-8"?>
<calcChain xmlns="http://schemas.openxmlformats.org/spreadsheetml/2006/main">
  <c r="D23" i="1" l="1"/>
  <c r="M40" i="1"/>
  <c r="P43" i="1" l="1"/>
  <c r="J18" i="1"/>
  <c r="I30" i="1" s="1"/>
  <c r="J30" i="1" s="1"/>
  <c r="J17" i="1"/>
  <c r="I23" i="1" s="1"/>
  <c r="M16" i="1"/>
  <c r="M18" i="1" s="1"/>
  <c r="M19" i="1" s="1"/>
  <c r="P12" i="1"/>
  <c r="H23" i="1" s="1"/>
  <c r="S10" i="1"/>
  <c r="T1" i="1"/>
  <c r="J19" i="1" l="1"/>
  <c r="I27" i="1"/>
  <c r="J27" i="1" s="1"/>
  <c r="I31" i="1"/>
  <c r="J31" i="1" s="1"/>
  <c r="I29" i="1"/>
  <c r="J29" i="1" s="1"/>
  <c r="I24" i="1"/>
  <c r="J24" i="1" s="1"/>
  <c r="I28" i="1"/>
  <c r="J28" i="1" s="1"/>
  <c r="I35" i="1"/>
  <c r="J35" i="1" s="1"/>
  <c r="J23" i="1"/>
  <c r="T10" i="1"/>
  <c r="B12" i="1"/>
  <c r="M17" i="1"/>
  <c r="U10" i="1" l="1"/>
  <c r="V10" i="1" s="1"/>
  <c r="I36" i="1"/>
  <c r="J36" i="1" s="1"/>
  <c r="I34" i="1"/>
  <c r="J34" i="1" s="1"/>
  <c r="J38" i="1" l="1"/>
  <c r="W10" i="1"/>
  <c r="F19" i="1" s="1"/>
  <c r="J40" i="1" l="1"/>
  <c r="J41" i="1"/>
  <c r="F59" i="1" l="1"/>
  <c r="J47" i="1" l="1"/>
  <c r="J43" i="1"/>
  <c r="J46" i="1"/>
  <c r="J45" i="1"/>
  <c r="J44" i="1"/>
  <c r="J49" i="1" l="1"/>
  <c r="J51" i="1" s="1"/>
  <c r="J54" i="1" s="1"/>
</calcChain>
</file>

<file path=xl/sharedStrings.xml><?xml version="1.0" encoding="utf-8"?>
<sst xmlns="http://schemas.openxmlformats.org/spreadsheetml/2006/main" count="65" uniqueCount="65">
  <si>
    <t>nb jour/mois</t>
  </si>
  <si>
    <t>Clôture</t>
  </si>
  <si>
    <t>Début</t>
  </si>
  <si>
    <t>Ancienneté en jours</t>
  </si>
  <si>
    <t>Partie en années</t>
  </si>
  <si>
    <t>Partie en mois</t>
  </si>
  <si>
    <t>Partie en jours</t>
  </si>
  <si>
    <t>Ancienneté</t>
  </si>
  <si>
    <t>Fin</t>
  </si>
  <si>
    <t>Nom et Prénoms :</t>
  </si>
  <si>
    <t>Matricule :</t>
  </si>
  <si>
    <t>Classification :</t>
  </si>
  <si>
    <t>Base congés</t>
  </si>
  <si>
    <t>Fonction :</t>
  </si>
  <si>
    <t>Salaire de base :</t>
  </si>
  <si>
    <t>N° CNaPS :</t>
  </si>
  <si>
    <t>Taux journaliers :</t>
  </si>
  <si>
    <t>Date d'embauche :</t>
  </si>
  <si>
    <t>Taux horaires :</t>
  </si>
  <si>
    <t>Ancienneté :</t>
  </si>
  <si>
    <t>Indice :</t>
  </si>
  <si>
    <t>Désignations</t>
  </si>
  <si>
    <t>Nombre</t>
  </si>
  <si>
    <t>Taux</t>
  </si>
  <si>
    <t>Montant</t>
  </si>
  <si>
    <t>Absences déductibles</t>
  </si>
  <si>
    <t>Primes de rendement</t>
  </si>
  <si>
    <t>Primes d'ancienneté</t>
  </si>
  <si>
    <t>Heures supplémentaires majorées de 30%</t>
  </si>
  <si>
    <t>Heures supplémentaires majorées de 40%</t>
  </si>
  <si>
    <t>Heures supplémentaires majorées de 50%</t>
  </si>
  <si>
    <t>Heures supplémentaires majorées de 100%</t>
  </si>
  <si>
    <t>Majoration pour heures de nuit</t>
  </si>
  <si>
    <t>Primes diverses</t>
  </si>
  <si>
    <t>Rappels sur période antérieure</t>
  </si>
  <si>
    <t>Droits de congés</t>
  </si>
  <si>
    <t>Droits de préavis</t>
  </si>
  <si>
    <t>Indemnités de licenciement</t>
  </si>
  <si>
    <t>A</t>
  </si>
  <si>
    <t>Salaire brut</t>
  </si>
  <si>
    <t>Retenue CNaPS 1%</t>
  </si>
  <si>
    <t>Plafond</t>
  </si>
  <si>
    <t>Total des retenues</t>
  </si>
  <si>
    <t>Autres indemnités</t>
  </si>
  <si>
    <t>Net à payer</t>
  </si>
  <si>
    <t>Avantages en nature :</t>
  </si>
  <si>
    <t>Déductions IRSA :</t>
  </si>
  <si>
    <t>Montant imposable :</t>
  </si>
  <si>
    <t>Mode de paiement :</t>
  </si>
  <si>
    <t>L'employeur</t>
  </si>
  <si>
    <t>L'employé(e)</t>
  </si>
  <si>
    <t>Retenue sanitaire</t>
  </si>
  <si>
    <t>Virement/chèque</t>
  </si>
  <si>
    <t>FICHE DE PAIE</t>
  </si>
  <si>
    <t>HC</t>
  </si>
  <si>
    <t>Tranche IRSA INF 350 0000</t>
  </si>
  <si>
    <t>TOTAL IRSA</t>
  </si>
  <si>
    <t>627/TNR</t>
  </si>
  <si>
    <t>RAZAFIARISON Laza</t>
  </si>
  <si>
    <t>Tranche IRSA DE 350 0001 à 400 000</t>
  </si>
  <si>
    <t>Tranche IRSA DE 400 0001 à 500 000</t>
  </si>
  <si>
    <t>Tranche IRSA DE 500 001 à 600 000</t>
  </si>
  <si>
    <t>Tranche IRSA DE 600 001 à 4000 000</t>
  </si>
  <si>
    <t>Tranche IRSA PLUS DE 4000 000</t>
  </si>
  <si>
    <t>DRH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</si>
</sst>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-* #,##0.00\ _€_-;\-* #,##0.00\ _€_-;_-* &quot;-&quot;??\ _€_-;_-@_-"/>
    <numFmt numFmtId="165" formatCode="_(* #,##0.00_);_(* \(#,##0.00\);_(* &quot;-&quot;??_);_(@_)"/>
    <numFmt numFmtId="166" formatCode="00&quot; jour(s)&quot;"/>
    <numFmt numFmtId="167" formatCode="00&quot; an(s)&quot;"/>
    <numFmt numFmtId="168" formatCode="00&quot; mois&quot;"/>
    <numFmt numFmtId="169" formatCode="&quot;ARRETE AU &quot;dd/mm/yy"/>
    <numFmt numFmtId="170" formatCode="00.0&quot; jour(s)&quot;"/>
    <numFmt numFmtId="171" formatCode="000"/>
    <numFmt numFmtId="172" formatCode="#,##0&quot; FMG&quot;"/>
    <numFmt numFmtId="173" formatCode="#,##0.00&quot; Jour(s)&quot;"/>
    <numFmt numFmtId="174" formatCode="#,##0.00&quot; heure(s)&quot;"/>
    <numFmt numFmtId="175" formatCode="[h]:mm"/>
    <numFmt numFmtId="176" formatCode="&quot;Déduction pour charges de famille : &quot;#,##0"/>
    <numFmt numFmtId="177" formatCode="_-* #,##0.00\ [$€]_-;\-* #,##0.00\ [$€]_-;_-* &quot;-&quot;??\ [$€]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sz val="8"/>
      <name val="Arial"/>
      <family val="2"/>
    </font>
    <font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color indexed="48"/>
      <name val="Arial"/>
      <family val="2"/>
    </font>
    <font>
      <sz val="9"/>
      <name val="Arial"/>
      <family val="2"/>
    </font>
    <font>
      <sz val="9"/>
      <color indexed="48"/>
      <name val="Arial"/>
      <family val="2"/>
    </font>
    <font>
      <sz val="9"/>
      <color indexed="9"/>
      <name val="Arial"/>
      <family val="2"/>
    </font>
    <font>
      <b/>
      <sz val="10"/>
      <color rgb="FFFF000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b/>
      <i/>
      <sz val="10"/>
      <color indexed="48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0"/>
      <color indexed="48"/>
      <name val="Arial"/>
      <family val="2"/>
    </font>
    <font>
      <sz val="29"/>
      <color rgb="FF1C4895"/>
      <name val="Arial"/>
      <family val="2"/>
    </font>
    <font>
      <sz val="11"/>
      <color rgb="FF2F4D89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</cellStyleXfs>
  <cellXfs count="158">
    <xf numFmtId="0" fontId="0" fillId="0" borderId="0" xfId="0"/>
    <xf numFmtId="0" fontId="2" fillId="2" borderId="0" xfId="2" applyFont="1" applyFill="1" applyBorder="1" applyAlignment="1"/>
    <xf numFmtId="0" fontId="2" fillId="2" borderId="0" xfId="2" applyFont="1" applyFill="1" applyBorder="1" applyAlignment="1">
      <alignment horizontal="center"/>
    </xf>
    <xf numFmtId="0" fontId="2" fillId="0" borderId="0" xfId="2" applyFont="1" applyBorder="1" applyAlignment="1"/>
    <xf numFmtId="0" fontId="2" fillId="0" borderId="0" xfId="2" applyFont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0" fontId="3" fillId="0" borderId="0" xfId="2" applyFont="1"/>
    <xf numFmtId="0" fontId="2" fillId="0" borderId="0" xfId="2"/>
    <xf numFmtId="165" fontId="4" fillId="0" borderId="0" xfId="3" applyNumberFormat="1" applyFont="1"/>
    <xf numFmtId="0" fontId="4" fillId="0" borderId="0" xfId="2" applyFont="1" applyBorder="1" applyAlignment="1">
      <alignment horizontal="centerContinuous" vertical="center"/>
    </xf>
    <xf numFmtId="0" fontId="4" fillId="0" borderId="0" xfId="2" applyFont="1" applyBorder="1" applyAlignment="1">
      <alignment vertical="center"/>
    </xf>
    <xf numFmtId="0" fontId="5" fillId="0" borderId="0" xfId="2" applyFont="1" applyBorder="1" applyAlignment="1">
      <alignment horizontal="centerContinuous" vertical="center"/>
    </xf>
    <xf numFmtId="165" fontId="6" fillId="0" borderId="0" xfId="3" applyNumberFormat="1" applyFont="1" applyAlignment="1">
      <alignment horizontal="left"/>
    </xf>
    <xf numFmtId="0" fontId="7" fillId="0" borderId="0" xfId="2" applyNumberFormat="1" applyFont="1" applyBorder="1" applyAlignment="1">
      <alignment horizontal="right" vertical="center"/>
    </xf>
    <xf numFmtId="0" fontId="2" fillId="0" borderId="0" xfId="2" applyFont="1" applyBorder="1" applyAlignment="1" applyProtection="1">
      <alignment vertical="center"/>
    </xf>
    <xf numFmtId="14" fontId="8" fillId="0" borderId="1" xfId="2" applyNumberFormat="1" applyFont="1" applyBorder="1" applyAlignment="1" applyProtection="1">
      <alignment horizontal="center" vertical="center"/>
      <protection locked="0"/>
    </xf>
    <xf numFmtId="0" fontId="7" fillId="0" borderId="0" xfId="2" applyFont="1" applyBorder="1" applyAlignment="1">
      <alignment horizontal="center" vertical="center" wrapText="1"/>
    </xf>
    <xf numFmtId="165" fontId="2" fillId="0" borderId="0" xfId="3" applyNumberFormat="1"/>
    <xf numFmtId="0" fontId="6" fillId="0" borderId="0" xfId="2" applyFont="1" applyBorder="1" applyAlignment="1">
      <alignment horizontal="left" vertical="center"/>
    </xf>
    <xf numFmtId="0" fontId="6" fillId="0" borderId="0" xfId="2" applyFont="1" applyAlignment="1">
      <alignment horizontal="left"/>
    </xf>
    <xf numFmtId="0" fontId="2" fillId="0" borderId="0" xfId="2" applyFont="1" applyBorder="1" applyAlignment="1">
      <alignment horizontal="centerContinuous"/>
    </xf>
    <xf numFmtId="0" fontId="2" fillId="0" borderId="0" xfId="2" applyFont="1" applyBorder="1" applyAlignment="1">
      <alignment horizontal="centerContinuous" vertical="center"/>
    </xf>
    <xf numFmtId="166" fontId="7" fillId="0" borderId="0" xfId="2" applyNumberFormat="1" applyFont="1" applyFill="1" applyBorder="1" applyAlignment="1">
      <alignment horizontal="center" vertical="center"/>
    </xf>
    <xf numFmtId="167" fontId="7" fillId="0" borderId="0" xfId="2" applyNumberFormat="1" applyFont="1" applyFill="1" applyBorder="1" applyAlignment="1">
      <alignment horizontal="center" vertical="center"/>
    </xf>
    <xf numFmtId="168" fontId="7" fillId="0" borderId="0" xfId="2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Continuous" vertical="center"/>
    </xf>
    <xf numFmtId="169" fontId="5" fillId="0" borderId="0" xfId="2" applyNumberFormat="1" applyFont="1" applyBorder="1" applyAlignment="1" applyProtection="1">
      <alignment horizontal="centerContinuous" vertical="center"/>
    </xf>
    <xf numFmtId="0" fontId="2" fillId="0" borderId="0" xfId="2" applyFont="1" applyBorder="1" applyAlignment="1" applyProtection="1">
      <alignment horizontal="centerContinuous" vertical="center"/>
    </xf>
    <xf numFmtId="170" fontId="2" fillId="0" borderId="1" xfId="2" applyNumberFormat="1" applyFill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2" fillId="0" borderId="0" xfId="2" applyBorder="1" applyAlignment="1">
      <alignment horizontal="left" vertical="center" indent="1"/>
    </xf>
    <xf numFmtId="0" fontId="2" fillId="0" borderId="0" xfId="2" applyBorder="1" applyAlignment="1">
      <alignment horizontal="left" vertical="center" indent="2"/>
    </xf>
    <xf numFmtId="0" fontId="8" fillId="0" borderId="0" xfId="2" applyFont="1" applyBorder="1" applyAlignment="1" applyProtection="1">
      <alignment horizontal="left" vertical="center"/>
      <protection locked="0"/>
    </xf>
    <xf numFmtId="0" fontId="2" fillId="0" borderId="0" xfId="2" applyBorder="1" applyAlignment="1">
      <alignment horizontal="left" vertical="center"/>
    </xf>
    <xf numFmtId="0" fontId="2" fillId="0" borderId="0" xfId="2" applyBorder="1" applyAlignment="1">
      <alignment vertical="center"/>
    </xf>
    <xf numFmtId="0" fontId="2" fillId="0" borderId="0" xfId="2" applyFont="1" applyFill="1" applyBorder="1" applyAlignment="1">
      <alignment vertical="center"/>
    </xf>
    <xf numFmtId="171" fontId="8" fillId="0" borderId="0" xfId="2" applyNumberFormat="1" applyFont="1" applyBorder="1" applyAlignment="1" applyProtection="1">
      <alignment horizontal="left" vertical="center"/>
      <protection locked="0"/>
    </xf>
    <xf numFmtId="171" fontId="2" fillId="0" borderId="0" xfId="2" applyNumberFormat="1" applyFont="1" applyBorder="1" applyAlignment="1">
      <alignment horizontal="left" vertical="center"/>
    </xf>
    <xf numFmtId="0" fontId="2" fillId="0" borderId="0" xfId="2" applyBorder="1" applyAlignment="1">
      <alignment horizontal="left" vertical="center" indent="3"/>
    </xf>
    <xf numFmtId="0" fontId="8" fillId="0" borderId="0" xfId="2" applyFont="1" applyBorder="1" applyAlignment="1" applyProtection="1">
      <alignment horizontal="right" vertical="center"/>
      <protection locked="0"/>
    </xf>
    <xf numFmtId="0" fontId="2" fillId="0" borderId="0" xfId="2" applyFill="1" applyBorder="1" applyAlignment="1">
      <alignment vertical="center"/>
    </xf>
    <xf numFmtId="0" fontId="2" fillId="0" borderId="0" xfId="2" applyFont="1" applyBorder="1" applyAlignment="1">
      <alignment horizontal="left" vertical="center"/>
    </xf>
    <xf numFmtId="4" fontId="9" fillId="3" borderId="0" xfId="2" applyNumberFormat="1" applyFont="1" applyFill="1" applyBorder="1" applyAlignment="1" applyProtection="1">
      <alignment horizontal="right" vertical="center"/>
      <protection locked="0"/>
    </xf>
    <xf numFmtId="4" fontId="10" fillId="0" borderId="1" xfId="2" applyNumberFormat="1" applyFont="1" applyBorder="1" applyAlignment="1" applyProtection="1">
      <alignment horizontal="right" vertical="center"/>
      <protection locked="0"/>
    </xf>
    <xf numFmtId="1" fontId="8" fillId="0" borderId="0" xfId="2" applyNumberFormat="1" applyFont="1" applyBorder="1" applyAlignment="1" applyProtection="1">
      <alignment horizontal="left" vertical="center"/>
      <protection locked="0"/>
    </xf>
    <xf numFmtId="0" fontId="2" fillId="0" borderId="0" xfId="2" applyFont="1" applyBorder="1" applyAlignment="1">
      <alignment horizontal="left" vertical="center" indent="3"/>
    </xf>
    <xf numFmtId="4" fontId="2" fillId="0" borderId="0" xfId="2" applyNumberFormat="1" applyBorder="1" applyAlignment="1">
      <alignment horizontal="right" vertical="center"/>
    </xf>
    <xf numFmtId="172" fontId="2" fillId="0" borderId="0" xfId="2" applyNumberFormat="1" applyFill="1" applyBorder="1" applyAlignment="1">
      <alignment horizontal="right" vertical="center"/>
    </xf>
    <xf numFmtId="0" fontId="2" fillId="0" borderId="0" xfId="2" applyFont="1" applyBorder="1" applyAlignment="1">
      <alignment horizontal="left" vertical="center" indent="1"/>
    </xf>
    <xf numFmtId="0" fontId="2" fillId="0" borderId="0" xfId="2" applyFont="1" applyBorder="1" applyAlignment="1">
      <alignment horizontal="left" vertical="center" indent="2"/>
    </xf>
    <xf numFmtId="14" fontId="2" fillId="0" borderId="0" xfId="2" applyNumberFormat="1" applyFont="1" applyBorder="1" applyAlignment="1">
      <alignment horizontal="left" vertical="center"/>
    </xf>
    <xf numFmtId="0" fontId="2" fillId="0" borderId="0" xfId="2" applyNumberFormat="1" applyFont="1" applyBorder="1" applyAlignment="1" applyProtection="1">
      <alignment horizontal="left" vertical="center"/>
      <protection locked="0"/>
    </xf>
    <xf numFmtId="0" fontId="2" fillId="0" borderId="0" xfId="2" applyFont="1" applyBorder="1" applyAlignment="1">
      <alignment horizontal="left" vertical="center" indent="4"/>
    </xf>
    <xf numFmtId="172" fontId="2" fillId="0" borderId="0" xfId="2" applyNumberFormat="1" applyBorder="1" applyAlignment="1">
      <alignment horizontal="right" vertical="center"/>
    </xf>
    <xf numFmtId="0" fontId="2" fillId="2" borderId="0" xfId="2" applyFont="1" applyFill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2" fillId="0" borderId="2" xfId="2" applyBorder="1" applyAlignment="1">
      <alignment horizontal="centerContinuous" vertical="center"/>
    </xf>
    <xf numFmtId="0" fontId="2" fillId="0" borderId="3" xfId="2" applyBorder="1" applyAlignment="1">
      <alignment horizontal="centerContinuous" vertical="center"/>
    </xf>
    <xf numFmtId="0" fontId="2" fillId="0" borderId="4" xfId="2" applyBorder="1" applyAlignment="1">
      <alignment horizontal="centerContinuous" vertical="center"/>
    </xf>
    <xf numFmtId="0" fontId="2" fillId="0" borderId="1" xfId="2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0" xfId="2" applyFill="1" applyBorder="1" applyAlignment="1">
      <alignment horizontal="center" vertical="center"/>
    </xf>
    <xf numFmtId="0" fontId="2" fillId="0" borderId="0" xfId="2" applyBorder="1" applyAlignment="1">
      <alignment horizontal="center" vertical="center"/>
    </xf>
    <xf numFmtId="0" fontId="11" fillId="2" borderId="0" xfId="2" applyFont="1" applyFill="1" applyBorder="1" applyAlignment="1">
      <alignment vertical="center"/>
    </xf>
    <xf numFmtId="0" fontId="11" fillId="0" borderId="0" xfId="2" applyFont="1" applyBorder="1" applyAlignment="1">
      <alignment vertical="center"/>
    </xf>
    <xf numFmtId="0" fontId="11" fillId="0" borderId="5" xfId="2" applyFont="1" applyBorder="1" applyAlignment="1">
      <alignment vertical="center"/>
    </xf>
    <xf numFmtId="0" fontId="11" fillId="0" borderId="6" xfId="2" applyFont="1" applyBorder="1" applyAlignment="1" applyProtection="1">
      <alignment vertical="center"/>
      <protection locked="0"/>
    </xf>
    <xf numFmtId="173" fontId="12" fillId="0" borderId="7" xfId="2" applyNumberFormat="1" applyFont="1" applyBorder="1" applyAlignment="1" applyProtection="1">
      <alignment horizontal="center" vertical="center"/>
      <protection locked="0"/>
    </xf>
    <xf numFmtId="4" fontId="11" fillId="0" borderId="7" xfId="2" applyNumberFormat="1" applyFont="1" applyBorder="1" applyAlignment="1">
      <alignment vertical="center"/>
    </xf>
    <xf numFmtId="3" fontId="11" fillId="0" borderId="0" xfId="2" applyNumberFormat="1" applyFont="1" applyFill="1" applyBorder="1" applyAlignment="1">
      <alignment vertical="center"/>
    </xf>
    <xf numFmtId="0" fontId="11" fillId="0" borderId="0" xfId="2" applyFont="1" applyBorder="1" applyAlignment="1">
      <alignment horizontal="center" vertical="center"/>
    </xf>
    <xf numFmtId="0" fontId="11" fillId="0" borderId="8" xfId="2" applyFont="1" applyBorder="1" applyAlignment="1">
      <alignment vertical="center"/>
    </xf>
    <xf numFmtId="0" fontId="11" fillId="0" borderId="9" xfId="2" applyFont="1" applyBorder="1" applyAlignment="1">
      <alignment vertical="center"/>
    </xf>
    <xf numFmtId="173" fontId="12" fillId="0" borderId="10" xfId="2" applyNumberFormat="1" applyFont="1" applyBorder="1" applyAlignment="1" applyProtection="1">
      <alignment horizontal="center" vertical="center"/>
      <protection locked="0"/>
    </xf>
    <xf numFmtId="4" fontId="11" fillId="0" borderId="10" xfId="2" applyNumberFormat="1" applyFont="1" applyBorder="1" applyAlignment="1">
      <alignment vertical="center"/>
    </xf>
    <xf numFmtId="173" fontId="11" fillId="0" borderId="10" xfId="2" applyNumberFormat="1" applyFont="1" applyBorder="1" applyAlignment="1">
      <alignment horizontal="center" vertical="center"/>
    </xf>
    <xf numFmtId="4" fontId="12" fillId="0" borderId="10" xfId="2" applyNumberFormat="1" applyFont="1" applyBorder="1" applyAlignment="1">
      <alignment vertical="center"/>
    </xf>
    <xf numFmtId="4" fontId="12" fillId="0" borderId="10" xfId="2" applyNumberFormat="1" applyFont="1" applyBorder="1" applyAlignment="1" applyProtection="1">
      <alignment vertical="center"/>
      <protection locked="0"/>
    </xf>
    <xf numFmtId="174" fontId="12" fillId="0" borderId="10" xfId="2" applyNumberFormat="1" applyFont="1" applyBorder="1" applyAlignment="1" applyProtection="1">
      <alignment horizontal="center" vertical="center"/>
      <protection locked="0"/>
    </xf>
    <xf numFmtId="175" fontId="13" fillId="0" borderId="0" xfId="2" applyNumberFormat="1" applyFont="1" applyBorder="1" applyAlignment="1">
      <alignment horizontal="left" vertical="center"/>
    </xf>
    <xf numFmtId="173" fontId="11" fillId="0" borderId="10" xfId="2" applyNumberFormat="1" applyFont="1" applyBorder="1" applyAlignment="1">
      <alignment vertical="center"/>
    </xf>
    <xf numFmtId="4" fontId="11" fillId="0" borderId="10" xfId="2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left" vertical="center" indent="1"/>
    </xf>
    <xf numFmtId="0" fontId="11" fillId="0" borderId="11" xfId="2" applyFont="1" applyBorder="1" applyAlignment="1">
      <alignment horizontal="left" vertical="center" indent="1"/>
    </xf>
    <xf numFmtId="0" fontId="11" fillId="0" borderId="12" xfId="2" applyFont="1" applyBorder="1" applyAlignment="1">
      <alignment vertical="center"/>
    </xf>
    <xf numFmtId="0" fontId="11" fillId="0" borderId="13" xfId="2" applyFont="1" applyBorder="1" applyAlignment="1">
      <alignment vertical="center"/>
    </xf>
    <xf numFmtId="0" fontId="11" fillId="0" borderId="13" xfId="2" applyFont="1" applyBorder="1" applyAlignment="1">
      <alignment horizontal="left" vertical="center" indent="1"/>
    </xf>
    <xf numFmtId="0" fontId="11" fillId="0" borderId="14" xfId="2" applyFont="1" applyBorder="1" applyAlignment="1">
      <alignment horizontal="left" vertical="center" indent="1"/>
    </xf>
    <xf numFmtId="173" fontId="11" fillId="0" borderId="15" xfId="2" applyNumberFormat="1" applyFont="1" applyBorder="1" applyAlignment="1">
      <alignment horizontal="center" vertical="center"/>
    </xf>
    <xf numFmtId="4" fontId="11" fillId="0" borderId="15" xfId="2" applyNumberFormat="1" applyFont="1" applyBorder="1" applyAlignment="1">
      <alignment vertical="center"/>
    </xf>
    <xf numFmtId="4" fontId="13" fillId="0" borderId="15" xfId="2" applyNumberFormat="1" applyFont="1" applyBorder="1" applyAlignment="1" applyProtection="1">
      <alignment vertical="center"/>
      <protection locked="0"/>
    </xf>
    <xf numFmtId="0" fontId="4" fillId="0" borderId="0" xfId="2" applyFont="1" applyBorder="1" applyAlignment="1">
      <alignment horizontal="right" vertical="center"/>
    </xf>
    <xf numFmtId="3" fontId="4" fillId="0" borderId="0" xfId="2" applyNumberFormat="1" applyFont="1" applyBorder="1" applyAlignment="1">
      <alignment horizontal="right" vertical="center"/>
    </xf>
    <xf numFmtId="4" fontId="4" fillId="0" borderId="16" xfId="2" applyNumberFormat="1" applyFont="1" applyBorder="1" applyAlignment="1">
      <alignment vertical="center"/>
    </xf>
    <xf numFmtId="3" fontId="4" fillId="0" borderId="0" xfId="2" applyNumberFormat="1" applyFont="1" applyFill="1" applyBorder="1" applyAlignment="1">
      <alignment vertical="center"/>
    </xf>
    <xf numFmtId="4" fontId="2" fillId="0" borderId="0" xfId="2" applyNumberFormat="1" applyFont="1" applyBorder="1" applyAlignment="1">
      <alignment vertical="center"/>
    </xf>
    <xf numFmtId="3" fontId="2" fillId="0" borderId="0" xfId="2" applyNumberFormat="1" applyBorder="1" applyAlignment="1">
      <alignment vertical="center"/>
    </xf>
    <xf numFmtId="3" fontId="2" fillId="0" borderId="0" xfId="2" applyNumberFormat="1" applyFill="1" applyBorder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6" xfId="2" applyBorder="1" applyAlignment="1">
      <alignment vertical="center"/>
    </xf>
    <xf numFmtId="0" fontId="2" fillId="0" borderId="6" xfId="2" applyBorder="1" applyAlignment="1">
      <alignment horizontal="left" vertical="center" indent="8"/>
    </xf>
    <xf numFmtId="0" fontId="2" fillId="0" borderId="6" xfId="2" applyFont="1" applyBorder="1" applyAlignment="1">
      <alignment vertical="center"/>
    </xf>
    <xf numFmtId="4" fontId="14" fillId="0" borderId="0" xfId="2" applyNumberFormat="1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9" xfId="2" applyBorder="1" applyAlignment="1">
      <alignment vertical="center"/>
    </xf>
    <xf numFmtId="0" fontId="2" fillId="0" borderId="9" xfId="2" applyBorder="1" applyAlignment="1">
      <alignment horizontal="left" vertical="center" indent="8"/>
    </xf>
    <xf numFmtId="0" fontId="2" fillId="0" borderId="9" xfId="2" applyFont="1" applyBorder="1" applyAlignment="1">
      <alignment vertical="center"/>
    </xf>
    <xf numFmtId="4" fontId="2" fillId="0" borderId="10" xfId="2" applyNumberFormat="1" applyBorder="1" applyAlignment="1">
      <alignment vertical="center"/>
    </xf>
    <xf numFmtId="3" fontId="2" fillId="0" borderId="0" xfId="2" applyNumberFormat="1" applyFont="1" applyBorder="1" applyAlignment="1">
      <alignment vertical="center"/>
    </xf>
    <xf numFmtId="4" fontId="10" fillId="0" borderId="10" xfId="2" applyNumberFormat="1" applyFont="1" applyBorder="1" applyAlignment="1" applyProtection="1">
      <alignment vertical="center"/>
      <protection locked="0"/>
    </xf>
    <xf numFmtId="0" fontId="2" fillId="0" borderId="12" xfId="2" applyFont="1" applyBorder="1" applyAlignment="1">
      <alignment vertical="center"/>
    </xf>
    <xf numFmtId="0" fontId="2" fillId="0" borderId="13" xfId="2" applyBorder="1" applyAlignment="1">
      <alignment vertical="center"/>
    </xf>
    <xf numFmtId="0" fontId="2" fillId="0" borderId="13" xfId="2" applyBorder="1" applyAlignment="1">
      <alignment horizontal="left" vertical="center" indent="8"/>
    </xf>
    <xf numFmtId="0" fontId="2" fillId="0" borderId="13" xfId="2" applyFont="1" applyBorder="1" applyAlignment="1">
      <alignment vertical="center"/>
    </xf>
    <xf numFmtId="4" fontId="10" fillId="0" borderId="15" xfId="2" applyNumberFormat="1" applyFont="1" applyBorder="1" applyAlignment="1" applyProtection="1">
      <alignment vertical="center"/>
      <protection locked="0"/>
    </xf>
    <xf numFmtId="0" fontId="15" fillId="2" borderId="0" xfId="2" applyFont="1" applyFill="1" applyBorder="1" applyAlignment="1">
      <alignment vertical="center"/>
    </xf>
    <xf numFmtId="0" fontId="15" fillId="0" borderId="0" xfId="2" applyFont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2" fillId="0" borderId="0" xfId="2" applyFont="1" applyBorder="1" applyAlignment="1">
      <alignment horizontal="right" vertical="center"/>
    </xf>
    <xf numFmtId="4" fontId="2" fillId="0" borderId="1" xfId="2" applyNumberFormat="1" applyFont="1" applyBorder="1" applyAlignment="1">
      <alignment vertical="center"/>
    </xf>
    <xf numFmtId="3" fontId="16" fillId="0" borderId="0" xfId="2" applyNumberFormat="1" applyFont="1" applyFill="1" applyBorder="1" applyAlignment="1">
      <alignment vertical="center"/>
    </xf>
    <xf numFmtId="4" fontId="15" fillId="0" borderId="0" xfId="2" applyNumberFormat="1" applyFont="1" applyBorder="1" applyAlignment="1">
      <alignment vertical="center"/>
    </xf>
    <xf numFmtId="3" fontId="4" fillId="0" borderId="0" xfId="2" applyNumberFormat="1" applyFont="1" applyBorder="1" applyAlignment="1">
      <alignment vertical="center"/>
    </xf>
    <xf numFmtId="4" fontId="4" fillId="0" borderId="0" xfId="2" applyNumberFormat="1" applyFont="1" applyBorder="1" applyAlignment="1">
      <alignment vertical="center"/>
    </xf>
    <xf numFmtId="4" fontId="4" fillId="0" borderId="1" xfId="2" applyNumberFormat="1" applyFont="1" applyBorder="1" applyAlignment="1">
      <alignment vertical="center"/>
    </xf>
    <xf numFmtId="0" fontId="2" fillId="0" borderId="17" xfId="2" applyFont="1" applyBorder="1" applyAlignment="1">
      <alignment horizontal="left" indent="1"/>
    </xf>
    <xf numFmtId="0" fontId="2" fillId="0" borderId="18" xfId="2" applyFont="1" applyBorder="1" applyAlignment="1">
      <alignment horizontal="left" indent="2"/>
    </xf>
    <xf numFmtId="0" fontId="2" fillId="0" borderId="18" xfId="2" applyFont="1" applyBorder="1" applyAlignment="1"/>
    <xf numFmtId="3" fontId="10" fillId="0" borderId="19" xfId="2" applyNumberFormat="1" applyFont="1" applyBorder="1" applyAlignment="1" applyProtection="1">
      <alignment horizontal="left" vertical="center"/>
      <protection locked="0"/>
    </xf>
    <xf numFmtId="3" fontId="2" fillId="0" borderId="0" xfId="2" applyNumberFormat="1" applyBorder="1" applyAlignment="1">
      <alignment horizontal="left" vertical="center"/>
    </xf>
    <xf numFmtId="176" fontId="2" fillId="0" borderId="20" xfId="2" applyNumberFormat="1" applyBorder="1" applyAlignment="1">
      <alignment horizontal="left" vertical="center" indent="1"/>
    </xf>
    <xf numFmtId="4" fontId="2" fillId="0" borderId="21" xfId="2" applyNumberFormat="1" applyBorder="1" applyAlignment="1">
      <alignment horizontal="left" vertical="center"/>
    </xf>
    <xf numFmtId="3" fontId="2" fillId="0" borderId="0" xfId="2" applyNumberFormat="1" applyBorder="1" applyAlignment="1">
      <alignment horizontal="right" vertical="center"/>
    </xf>
    <xf numFmtId="4" fontId="2" fillId="0" borderId="0" xfId="2" applyNumberFormat="1" applyBorder="1" applyAlignment="1">
      <alignment vertical="center"/>
    </xf>
    <xf numFmtId="0" fontId="2" fillId="0" borderId="22" xfId="2" applyBorder="1" applyAlignment="1">
      <alignment horizontal="left" vertical="center" indent="1"/>
    </xf>
    <xf numFmtId="0" fontId="2" fillId="0" borderId="23" xfId="2" applyFont="1" applyBorder="1" applyAlignment="1">
      <alignment vertical="center"/>
    </xf>
    <xf numFmtId="4" fontId="2" fillId="0" borderId="24" xfId="2" applyNumberFormat="1" applyBorder="1" applyAlignment="1">
      <alignment horizontal="left" vertical="center"/>
    </xf>
    <xf numFmtId="0" fontId="17" fillId="0" borderId="0" xfId="2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0" fontId="17" fillId="0" borderId="0" xfId="2" applyFont="1" applyBorder="1" applyAlignment="1">
      <alignment horizontal="right" vertical="center"/>
    </xf>
    <xf numFmtId="0" fontId="18" fillId="0" borderId="0" xfId="2" applyFont="1" applyBorder="1" applyAlignment="1" applyProtection="1">
      <alignment horizontal="left" vertical="center"/>
      <protection locked="0"/>
    </xf>
    <xf numFmtId="0" fontId="19" fillId="0" borderId="0" xfId="2" applyFont="1" applyBorder="1" applyAlignment="1">
      <alignment horizontal="centerContinuous"/>
    </xf>
    <xf numFmtId="0" fontId="17" fillId="0" borderId="0" xfId="2" applyFont="1" applyBorder="1" applyAlignment="1">
      <alignment horizontal="center" vertical="center"/>
    </xf>
    <xf numFmtId="0" fontId="17" fillId="0" borderId="0" xfId="2" applyFont="1" applyBorder="1" applyAlignment="1">
      <alignment horizontal="centerContinuous" vertical="center"/>
    </xf>
    <xf numFmtId="0" fontId="17" fillId="0" borderId="0" xfId="2" applyFont="1" applyFill="1" applyBorder="1" applyAlignment="1">
      <alignment horizontal="center" vertical="center"/>
    </xf>
    <xf numFmtId="3" fontId="2" fillId="0" borderId="0" xfId="2" applyNumberFormat="1" applyFont="1" applyBorder="1" applyAlignment="1"/>
    <xf numFmtId="14" fontId="20" fillId="4" borderId="0" xfId="2" applyNumberFormat="1" applyFont="1" applyFill="1" applyBorder="1" applyAlignment="1" applyProtection="1">
      <alignment horizontal="left" vertical="center"/>
      <protection locked="0"/>
    </xf>
    <xf numFmtId="3" fontId="2" fillId="0" borderId="7" xfId="2" applyNumberFormat="1" applyBorder="1" applyAlignment="1">
      <alignment vertical="center"/>
    </xf>
    <xf numFmtId="3" fontId="2" fillId="0" borderId="10" xfId="2" applyNumberFormat="1" applyBorder="1" applyAlignment="1">
      <alignment vertical="center"/>
    </xf>
    <xf numFmtId="3" fontId="2" fillId="0" borderId="15" xfId="2" applyNumberFormat="1" applyBorder="1" applyAlignment="1">
      <alignment vertical="center"/>
    </xf>
    <xf numFmtId="9" fontId="2" fillId="0" borderId="10" xfId="1" applyFont="1" applyBorder="1" applyAlignment="1">
      <alignment vertical="center"/>
    </xf>
    <xf numFmtId="0" fontId="4" fillId="0" borderId="9" xfId="2" applyFont="1" applyBorder="1" applyAlignment="1">
      <alignment vertical="center"/>
    </xf>
    <xf numFmtId="4" fontId="21" fillId="0" borderId="10" xfId="2" applyNumberFormat="1" applyFont="1" applyBorder="1" applyAlignment="1" applyProtection="1">
      <alignment vertical="center"/>
      <protection locked="0"/>
    </xf>
    <xf numFmtId="4" fontId="2" fillId="0" borderId="7" xfId="2" applyNumberFormat="1" applyFont="1" applyBorder="1" applyAlignment="1">
      <alignment vertical="center"/>
    </xf>
    <xf numFmtId="0" fontId="22" fillId="0" borderId="0" xfId="0" applyFont="1" applyAlignment="1">
      <alignment horizontal="left" indent="15"/>
    </xf>
    <xf numFmtId="0" fontId="23" fillId="0" borderId="0" xfId="0" applyFont="1" applyAlignment="1">
      <alignment horizontal="left" indent="3"/>
    </xf>
  </cellXfs>
  <cellStyles count="9">
    <cellStyle name="Euro" xfId="4"/>
    <cellStyle name="Milliers 3" xfId="5"/>
    <cellStyle name="Milliers 3 2" xfId="3"/>
    <cellStyle name="Milliers 7" xfId="6"/>
    <cellStyle name="Normal" xfId="0" builtinId="0"/>
    <cellStyle name="Normal 10" xfId="7"/>
    <cellStyle name="Normal 2" xfId="2"/>
    <cellStyle name="Normal 2 11" xfId="8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3</xdr:row>
      <xdr:rowOff>171450</xdr:rowOff>
    </xdr:from>
    <xdr:to>
      <xdr:col>5</xdr:col>
      <xdr:colOff>1635125</xdr:colOff>
      <xdr:row>7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8700" y="771525"/>
          <a:ext cx="257810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vo\Downloads\TP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raccourcis"/>
      <sheetName val="2 Formule simple"/>
      <sheetName val="3 Formule avancée"/>
      <sheetName val="4 COMBINAISON FONCTIONS"/>
      <sheetName val="4-1 REFERENCE"/>
      <sheetName val="5 TRI ET FILTRE"/>
      <sheetName val="6 GRAPHIQUE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B1" t="str">
            <v>Mois</v>
          </cell>
          <cell r="C1" t="str">
            <v>NB jour</v>
          </cell>
        </row>
        <row r="2">
          <cell r="B2" t="str">
            <v>01</v>
          </cell>
          <cell r="C2">
            <v>31</v>
          </cell>
        </row>
        <row r="3">
          <cell r="B3" t="str">
            <v>02</v>
          </cell>
          <cell r="C3">
            <v>28</v>
          </cell>
        </row>
        <row r="4">
          <cell r="B4" t="str">
            <v>03</v>
          </cell>
          <cell r="C4">
            <v>31</v>
          </cell>
        </row>
        <row r="5">
          <cell r="B5" t="str">
            <v>04</v>
          </cell>
          <cell r="C5">
            <v>30</v>
          </cell>
        </row>
        <row r="6">
          <cell r="B6" t="str">
            <v>05</v>
          </cell>
          <cell r="C6">
            <v>31</v>
          </cell>
        </row>
        <row r="7">
          <cell r="B7" t="str">
            <v>06</v>
          </cell>
          <cell r="C7">
            <v>30</v>
          </cell>
        </row>
        <row r="8">
          <cell r="B8" t="str">
            <v>07</v>
          </cell>
          <cell r="C8">
            <v>31</v>
          </cell>
        </row>
        <row r="9">
          <cell r="B9" t="str">
            <v>08</v>
          </cell>
          <cell r="C9">
            <v>31</v>
          </cell>
        </row>
        <row r="10">
          <cell r="B10" t="str">
            <v>09</v>
          </cell>
          <cell r="C10">
            <v>30</v>
          </cell>
        </row>
        <row r="11">
          <cell r="B11" t="str">
            <v>10</v>
          </cell>
          <cell r="C11">
            <v>31</v>
          </cell>
        </row>
        <row r="12">
          <cell r="B12" t="str">
            <v>11</v>
          </cell>
          <cell r="C12">
            <v>30</v>
          </cell>
        </row>
        <row r="13">
          <cell r="B13" t="str">
            <v>12</v>
          </cell>
          <cell r="C13">
            <v>31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showGridLines="0" showZeros="0" tabSelected="1" view="pageBreakPreview" topLeftCell="A28" zoomScale="75" zoomScaleNormal="75" zoomScaleSheetLayoutView="75" workbookViewId="0">
      <selection activeCell="J61" sqref="J61"/>
    </sheetView>
  </sheetViews>
  <sheetFormatPr baseColWidth="10" defaultRowHeight="12.75" customHeight="1" zeroHeight="1" x14ac:dyDescent="0.25"/>
  <cols>
    <col min="1" max="3" width="2.6640625" style="3" customWidth="1"/>
    <col min="4" max="5" width="10.6640625" style="3" customWidth="1"/>
    <col min="6" max="6" width="40.88671875" style="3" customWidth="1"/>
    <col min="7" max="7" width="18.88671875" style="3" bestFit="1" customWidth="1"/>
    <col min="8" max="8" width="20.109375" style="3" bestFit="1" customWidth="1"/>
    <col min="9" max="9" width="9.6640625" style="3" customWidth="1"/>
    <col min="10" max="10" width="20.33203125" style="3" bestFit="1" customWidth="1"/>
    <col min="11" max="11" width="2.6640625" style="3" customWidth="1"/>
    <col min="12" max="12" width="7.5546875" style="3" bestFit="1" customWidth="1"/>
    <col min="13" max="13" width="14" style="3" bestFit="1" customWidth="1"/>
    <col min="14" max="14" width="15" style="3" bestFit="1" customWidth="1"/>
    <col min="15" max="15" width="13.88671875" style="3" bestFit="1" customWidth="1"/>
    <col min="16" max="16" width="12.88671875" style="3" bestFit="1" customWidth="1"/>
    <col min="17" max="17" width="11.44140625" style="3"/>
    <col min="18" max="18" width="11.44140625" style="3" customWidth="1"/>
    <col min="19" max="19" width="15" style="3" customWidth="1"/>
    <col min="20" max="20" width="12.6640625" style="3" customWidth="1"/>
    <col min="21" max="21" width="10.88671875" style="3" customWidth="1"/>
    <col min="22" max="22" width="11" style="3" customWidth="1"/>
    <col min="23" max="23" width="8.88671875" style="3" customWidth="1"/>
    <col min="24" max="256" width="11.44140625" style="3"/>
    <col min="257" max="259" width="2.6640625" style="3" customWidth="1"/>
    <col min="260" max="261" width="10.6640625" style="3" customWidth="1"/>
    <col min="262" max="262" width="40.88671875" style="3" customWidth="1"/>
    <col min="263" max="263" width="18.88671875" style="3" bestFit="1" customWidth="1"/>
    <col min="264" max="264" width="13.109375" style="3" customWidth="1"/>
    <col min="265" max="265" width="9.6640625" style="3" customWidth="1"/>
    <col min="266" max="266" width="16.33203125" style="3" customWidth="1"/>
    <col min="267" max="268" width="2.6640625" style="3" customWidth="1"/>
    <col min="269" max="269" width="12.44140625" style="3" bestFit="1" customWidth="1"/>
    <col min="270" max="270" width="15" style="3" bestFit="1" customWidth="1"/>
    <col min="271" max="271" width="13.88671875" style="3" bestFit="1" customWidth="1"/>
    <col min="272" max="272" width="11.5546875" style="3" bestFit="1" customWidth="1"/>
    <col min="273" max="273" width="11.44140625" style="3"/>
    <col min="274" max="276" width="0" style="3" hidden="1" customWidth="1"/>
    <col min="277" max="277" width="10.88671875" style="3" customWidth="1"/>
    <col min="278" max="278" width="11" style="3" customWidth="1"/>
    <col min="279" max="279" width="8.88671875" style="3" customWidth="1"/>
    <col min="280" max="512" width="11.44140625" style="3"/>
    <col min="513" max="515" width="2.6640625" style="3" customWidth="1"/>
    <col min="516" max="517" width="10.6640625" style="3" customWidth="1"/>
    <col min="518" max="518" width="40.88671875" style="3" customWidth="1"/>
    <col min="519" max="519" width="18.88671875" style="3" bestFit="1" customWidth="1"/>
    <col min="520" max="520" width="13.109375" style="3" customWidth="1"/>
    <col min="521" max="521" width="9.6640625" style="3" customWidth="1"/>
    <col min="522" max="522" width="16.33203125" style="3" customWidth="1"/>
    <col min="523" max="524" width="2.6640625" style="3" customWidth="1"/>
    <col min="525" max="525" width="12.44140625" style="3" bestFit="1" customWidth="1"/>
    <col min="526" max="526" width="15" style="3" bestFit="1" customWidth="1"/>
    <col min="527" max="527" width="13.88671875" style="3" bestFit="1" customWidth="1"/>
    <col min="528" max="528" width="11.5546875" style="3" bestFit="1" customWidth="1"/>
    <col min="529" max="529" width="11.44140625" style="3"/>
    <col min="530" max="532" width="0" style="3" hidden="1" customWidth="1"/>
    <col min="533" max="533" width="10.88671875" style="3" customWidth="1"/>
    <col min="534" max="534" width="11" style="3" customWidth="1"/>
    <col min="535" max="535" width="8.88671875" style="3" customWidth="1"/>
    <col min="536" max="768" width="11.44140625" style="3"/>
    <col min="769" max="771" width="2.6640625" style="3" customWidth="1"/>
    <col min="772" max="773" width="10.6640625" style="3" customWidth="1"/>
    <col min="774" max="774" width="40.88671875" style="3" customWidth="1"/>
    <col min="775" max="775" width="18.88671875" style="3" bestFit="1" customWidth="1"/>
    <col min="776" max="776" width="13.109375" style="3" customWidth="1"/>
    <col min="777" max="777" width="9.6640625" style="3" customWidth="1"/>
    <col min="778" max="778" width="16.33203125" style="3" customWidth="1"/>
    <col min="779" max="780" width="2.6640625" style="3" customWidth="1"/>
    <col min="781" max="781" width="12.44140625" style="3" bestFit="1" customWidth="1"/>
    <col min="782" max="782" width="15" style="3" bestFit="1" customWidth="1"/>
    <col min="783" max="783" width="13.88671875" style="3" bestFit="1" customWidth="1"/>
    <col min="784" max="784" width="11.5546875" style="3" bestFit="1" customWidth="1"/>
    <col min="785" max="785" width="11.44140625" style="3"/>
    <col min="786" max="788" width="0" style="3" hidden="1" customWidth="1"/>
    <col min="789" max="789" width="10.88671875" style="3" customWidth="1"/>
    <col min="790" max="790" width="11" style="3" customWidth="1"/>
    <col min="791" max="791" width="8.88671875" style="3" customWidth="1"/>
    <col min="792" max="1024" width="11.44140625" style="3"/>
    <col min="1025" max="1027" width="2.6640625" style="3" customWidth="1"/>
    <col min="1028" max="1029" width="10.6640625" style="3" customWidth="1"/>
    <col min="1030" max="1030" width="40.88671875" style="3" customWidth="1"/>
    <col min="1031" max="1031" width="18.88671875" style="3" bestFit="1" customWidth="1"/>
    <col min="1032" max="1032" width="13.109375" style="3" customWidth="1"/>
    <col min="1033" max="1033" width="9.6640625" style="3" customWidth="1"/>
    <col min="1034" max="1034" width="16.33203125" style="3" customWidth="1"/>
    <col min="1035" max="1036" width="2.6640625" style="3" customWidth="1"/>
    <col min="1037" max="1037" width="12.44140625" style="3" bestFit="1" customWidth="1"/>
    <col min="1038" max="1038" width="15" style="3" bestFit="1" customWidth="1"/>
    <col min="1039" max="1039" width="13.88671875" style="3" bestFit="1" customWidth="1"/>
    <col min="1040" max="1040" width="11.5546875" style="3" bestFit="1" customWidth="1"/>
    <col min="1041" max="1041" width="11.44140625" style="3"/>
    <col min="1042" max="1044" width="0" style="3" hidden="1" customWidth="1"/>
    <col min="1045" max="1045" width="10.88671875" style="3" customWidth="1"/>
    <col min="1046" max="1046" width="11" style="3" customWidth="1"/>
    <col min="1047" max="1047" width="8.88671875" style="3" customWidth="1"/>
    <col min="1048" max="1280" width="11.44140625" style="3"/>
    <col min="1281" max="1283" width="2.6640625" style="3" customWidth="1"/>
    <col min="1284" max="1285" width="10.6640625" style="3" customWidth="1"/>
    <col min="1286" max="1286" width="40.88671875" style="3" customWidth="1"/>
    <col min="1287" max="1287" width="18.88671875" style="3" bestFit="1" customWidth="1"/>
    <col min="1288" max="1288" width="13.109375" style="3" customWidth="1"/>
    <col min="1289" max="1289" width="9.6640625" style="3" customWidth="1"/>
    <col min="1290" max="1290" width="16.33203125" style="3" customWidth="1"/>
    <col min="1291" max="1292" width="2.6640625" style="3" customWidth="1"/>
    <col min="1293" max="1293" width="12.44140625" style="3" bestFit="1" customWidth="1"/>
    <col min="1294" max="1294" width="15" style="3" bestFit="1" customWidth="1"/>
    <col min="1295" max="1295" width="13.88671875" style="3" bestFit="1" customWidth="1"/>
    <col min="1296" max="1296" width="11.5546875" style="3" bestFit="1" customWidth="1"/>
    <col min="1297" max="1297" width="11.44140625" style="3"/>
    <col min="1298" max="1300" width="0" style="3" hidden="1" customWidth="1"/>
    <col min="1301" max="1301" width="10.88671875" style="3" customWidth="1"/>
    <col min="1302" max="1302" width="11" style="3" customWidth="1"/>
    <col min="1303" max="1303" width="8.88671875" style="3" customWidth="1"/>
    <col min="1304" max="1536" width="11.44140625" style="3"/>
    <col min="1537" max="1539" width="2.6640625" style="3" customWidth="1"/>
    <col min="1540" max="1541" width="10.6640625" style="3" customWidth="1"/>
    <col min="1542" max="1542" width="40.88671875" style="3" customWidth="1"/>
    <col min="1543" max="1543" width="18.88671875" style="3" bestFit="1" customWidth="1"/>
    <col min="1544" max="1544" width="13.109375" style="3" customWidth="1"/>
    <col min="1545" max="1545" width="9.6640625" style="3" customWidth="1"/>
    <col min="1546" max="1546" width="16.33203125" style="3" customWidth="1"/>
    <col min="1547" max="1548" width="2.6640625" style="3" customWidth="1"/>
    <col min="1549" max="1549" width="12.44140625" style="3" bestFit="1" customWidth="1"/>
    <col min="1550" max="1550" width="15" style="3" bestFit="1" customWidth="1"/>
    <col min="1551" max="1551" width="13.88671875" style="3" bestFit="1" customWidth="1"/>
    <col min="1552" max="1552" width="11.5546875" style="3" bestFit="1" customWidth="1"/>
    <col min="1553" max="1553" width="11.44140625" style="3"/>
    <col min="1554" max="1556" width="0" style="3" hidden="1" customWidth="1"/>
    <col min="1557" max="1557" width="10.88671875" style="3" customWidth="1"/>
    <col min="1558" max="1558" width="11" style="3" customWidth="1"/>
    <col min="1559" max="1559" width="8.88671875" style="3" customWidth="1"/>
    <col min="1560" max="1792" width="11.44140625" style="3"/>
    <col min="1793" max="1795" width="2.6640625" style="3" customWidth="1"/>
    <col min="1796" max="1797" width="10.6640625" style="3" customWidth="1"/>
    <col min="1798" max="1798" width="40.88671875" style="3" customWidth="1"/>
    <col min="1799" max="1799" width="18.88671875" style="3" bestFit="1" customWidth="1"/>
    <col min="1800" max="1800" width="13.109375" style="3" customWidth="1"/>
    <col min="1801" max="1801" width="9.6640625" style="3" customWidth="1"/>
    <col min="1802" max="1802" width="16.33203125" style="3" customWidth="1"/>
    <col min="1803" max="1804" width="2.6640625" style="3" customWidth="1"/>
    <col min="1805" max="1805" width="12.44140625" style="3" bestFit="1" customWidth="1"/>
    <col min="1806" max="1806" width="15" style="3" bestFit="1" customWidth="1"/>
    <col min="1807" max="1807" width="13.88671875" style="3" bestFit="1" customWidth="1"/>
    <col min="1808" max="1808" width="11.5546875" style="3" bestFit="1" customWidth="1"/>
    <col min="1809" max="1809" width="11.44140625" style="3"/>
    <col min="1810" max="1812" width="0" style="3" hidden="1" customWidth="1"/>
    <col min="1813" max="1813" width="10.88671875" style="3" customWidth="1"/>
    <col min="1814" max="1814" width="11" style="3" customWidth="1"/>
    <col min="1815" max="1815" width="8.88671875" style="3" customWidth="1"/>
    <col min="1816" max="2048" width="11.44140625" style="3"/>
    <col min="2049" max="2051" width="2.6640625" style="3" customWidth="1"/>
    <col min="2052" max="2053" width="10.6640625" style="3" customWidth="1"/>
    <col min="2054" max="2054" width="40.88671875" style="3" customWidth="1"/>
    <col min="2055" max="2055" width="18.88671875" style="3" bestFit="1" customWidth="1"/>
    <col min="2056" max="2056" width="13.109375" style="3" customWidth="1"/>
    <col min="2057" max="2057" width="9.6640625" style="3" customWidth="1"/>
    <col min="2058" max="2058" width="16.33203125" style="3" customWidth="1"/>
    <col min="2059" max="2060" width="2.6640625" style="3" customWidth="1"/>
    <col min="2061" max="2061" width="12.44140625" style="3" bestFit="1" customWidth="1"/>
    <col min="2062" max="2062" width="15" style="3" bestFit="1" customWidth="1"/>
    <col min="2063" max="2063" width="13.88671875" style="3" bestFit="1" customWidth="1"/>
    <col min="2064" max="2064" width="11.5546875" style="3" bestFit="1" customWidth="1"/>
    <col min="2065" max="2065" width="11.44140625" style="3"/>
    <col min="2066" max="2068" width="0" style="3" hidden="1" customWidth="1"/>
    <col min="2069" max="2069" width="10.88671875" style="3" customWidth="1"/>
    <col min="2070" max="2070" width="11" style="3" customWidth="1"/>
    <col min="2071" max="2071" width="8.88671875" style="3" customWidth="1"/>
    <col min="2072" max="2304" width="11.44140625" style="3"/>
    <col min="2305" max="2307" width="2.6640625" style="3" customWidth="1"/>
    <col min="2308" max="2309" width="10.6640625" style="3" customWidth="1"/>
    <col min="2310" max="2310" width="40.88671875" style="3" customWidth="1"/>
    <col min="2311" max="2311" width="18.88671875" style="3" bestFit="1" customWidth="1"/>
    <col min="2312" max="2312" width="13.109375" style="3" customWidth="1"/>
    <col min="2313" max="2313" width="9.6640625" style="3" customWidth="1"/>
    <col min="2314" max="2314" width="16.33203125" style="3" customWidth="1"/>
    <col min="2315" max="2316" width="2.6640625" style="3" customWidth="1"/>
    <col min="2317" max="2317" width="12.44140625" style="3" bestFit="1" customWidth="1"/>
    <col min="2318" max="2318" width="15" style="3" bestFit="1" customWidth="1"/>
    <col min="2319" max="2319" width="13.88671875" style="3" bestFit="1" customWidth="1"/>
    <col min="2320" max="2320" width="11.5546875" style="3" bestFit="1" customWidth="1"/>
    <col min="2321" max="2321" width="11.44140625" style="3"/>
    <col min="2322" max="2324" width="0" style="3" hidden="1" customWidth="1"/>
    <col min="2325" max="2325" width="10.88671875" style="3" customWidth="1"/>
    <col min="2326" max="2326" width="11" style="3" customWidth="1"/>
    <col min="2327" max="2327" width="8.88671875" style="3" customWidth="1"/>
    <col min="2328" max="2560" width="11.44140625" style="3"/>
    <col min="2561" max="2563" width="2.6640625" style="3" customWidth="1"/>
    <col min="2564" max="2565" width="10.6640625" style="3" customWidth="1"/>
    <col min="2566" max="2566" width="40.88671875" style="3" customWidth="1"/>
    <col min="2567" max="2567" width="18.88671875" style="3" bestFit="1" customWidth="1"/>
    <col min="2568" max="2568" width="13.109375" style="3" customWidth="1"/>
    <col min="2569" max="2569" width="9.6640625" style="3" customWidth="1"/>
    <col min="2570" max="2570" width="16.33203125" style="3" customWidth="1"/>
    <col min="2571" max="2572" width="2.6640625" style="3" customWidth="1"/>
    <col min="2573" max="2573" width="12.44140625" style="3" bestFit="1" customWidth="1"/>
    <col min="2574" max="2574" width="15" style="3" bestFit="1" customWidth="1"/>
    <col min="2575" max="2575" width="13.88671875" style="3" bestFit="1" customWidth="1"/>
    <col min="2576" max="2576" width="11.5546875" style="3" bestFit="1" customWidth="1"/>
    <col min="2577" max="2577" width="11.44140625" style="3"/>
    <col min="2578" max="2580" width="0" style="3" hidden="1" customWidth="1"/>
    <col min="2581" max="2581" width="10.88671875" style="3" customWidth="1"/>
    <col min="2582" max="2582" width="11" style="3" customWidth="1"/>
    <col min="2583" max="2583" width="8.88671875" style="3" customWidth="1"/>
    <col min="2584" max="2816" width="11.44140625" style="3"/>
    <col min="2817" max="2819" width="2.6640625" style="3" customWidth="1"/>
    <col min="2820" max="2821" width="10.6640625" style="3" customWidth="1"/>
    <col min="2822" max="2822" width="40.88671875" style="3" customWidth="1"/>
    <col min="2823" max="2823" width="18.88671875" style="3" bestFit="1" customWidth="1"/>
    <col min="2824" max="2824" width="13.109375" style="3" customWidth="1"/>
    <col min="2825" max="2825" width="9.6640625" style="3" customWidth="1"/>
    <col min="2826" max="2826" width="16.33203125" style="3" customWidth="1"/>
    <col min="2827" max="2828" width="2.6640625" style="3" customWidth="1"/>
    <col min="2829" max="2829" width="12.44140625" style="3" bestFit="1" customWidth="1"/>
    <col min="2830" max="2830" width="15" style="3" bestFit="1" customWidth="1"/>
    <col min="2831" max="2831" width="13.88671875" style="3" bestFit="1" customWidth="1"/>
    <col min="2832" max="2832" width="11.5546875" style="3" bestFit="1" customWidth="1"/>
    <col min="2833" max="2833" width="11.44140625" style="3"/>
    <col min="2834" max="2836" width="0" style="3" hidden="1" customWidth="1"/>
    <col min="2837" max="2837" width="10.88671875" style="3" customWidth="1"/>
    <col min="2838" max="2838" width="11" style="3" customWidth="1"/>
    <col min="2839" max="2839" width="8.88671875" style="3" customWidth="1"/>
    <col min="2840" max="3072" width="11.44140625" style="3"/>
    <col min="3073" max="3075" width="2.6640625" style="3" customWidth="1"/>
    <col min="3076" max="3077" width="10.6640625" style="3" customWidth="1"/>
    <col min="3078" max="3078" width="40.88671875" style="3" customWidth="1"/>
    <col min="3079" max="3079" width="18.88671875" style="3" bestFit="1" customWidth="1"/>
    <col min="3080" max="3080" width="13.109375" style="3" customWidth="1"/>
    <col min="3081" max="3081" width="9.6640625" style="3" customWidth="1"/>
    <col min="3082" max="3082" width="16.33203125" style="3" customWidth="1"/>
    <col min="3083" max="3084" width="2.6640625" style="3" customWidth="1"/>
    <col min="3085" max="3085" width="12.44140625" style="3" bestFit="1" customWidth="1"/>
    <col min="3086" max="3086" width="15" style="3" bestFit="1" customWidth="1"/>
    <col min="3087" max="3087" width="13.88671875" style="3" bestFit="1" customWidth="1"/>
    <col min="3088" max="3088" width="11.5546875" style="3" bestFit="1" customWidth="1"/>
    <col min="3089" max="3089" width="11.44140625" style="3"/>
    <col min="3090" max="3092" width="0" style="3" hidden="1" customWidth="1"/>
    <col min="3093" max="3093" width="10.88671875" style="3" customWidth="1"/>
    <col min="3094" max="3094" width="11" style="3" customWidth="1"/>
    <col min="3095" max="3095" width="8.88671875" style="3" customWidth="1"/>
    <col min="3096" max="3328" width="11.44140625" style="3"/>
    <col min="3329" max="3331" width="2.6640625" style="3" customWidth="1"/>
    <col min="3332" max="3333" width="10.6640625" style="3" customWidth="1"/>
    <col min="3334" max="3334" width="40.88671875" style="3" customWidth="1"/>
    <col min="3335" max="3335" width="18.88671875" style="3" bestFit="1" customWidth="1"/>
    <col min="3336" max="3336" width="13.109375" style="3" customWidth="1"/>
    <col min="3337" max="3337" width="9.6640625" style="3" customWidth="1"/>
    <col min="3338" max="3338" width="16.33203125" style="3" customWidth="1"/>
    <col min="3339" max="3340" width="2.6640625" style="3" customWidth="1"/>
    <col min="3341" max="3341" width="12.44140625" style="3" bestFit="1" customWidth="1"/>
    <col min="3342" max="3342" width="15" style="3" bestFit="1" customWidth="1"/>
    <col min="3343" max="3343" width="13.88671875" style="3" bestFit="1" customWidth="1"/>
    <col min="3344" max="3344" width="11.5546875" style="3" bestFit="1" customWidth="1"/>
    <col min="3345" max="3345" width="11.44140625" style="3"/>
    <col min="3346" max="3348" width="0" style="3" hidden="1" customWidth="1"/>
    <col min="3349" max="3349" width="10.88671875" style="3" customWidth="1"/>
    <col min="3350" max="3350" width="11" style="3" customWidth="1"/>
    <col min="3351" max="3351" width="8.88671875" style="3" customWidth="1"/>
    <col min="3352" max="3584" width="11.44140625" style="3"/>
    <col min="3585" max="3587" width="2.6640625" style="3" customWidth="1"/>
    <col min="3588" max="3589" width="10.6640625" style="3" customWidth="1"/>
    <col min="3590" max="3590" width="40.88671875" style="3" customWidth="1"/>
    <col min="3591" max="3591" width="18.88671875" style="3" bestFit="1" customWidth="1"/>
    <col min="3592" max="3592" width="13.109375" style="3" customWidth="1"/>
    <col min="3593" max="3593" width="9.6640625" style="3" customWidth="1"/>
    <col min="3594" max="3594" width="16.33203125" style="3" customWidth="1"/>
    <col min="3595" max="3596" width="2.6640625" style="3" customWidth="1"/>
    <col min="3597" max="3597" width="12.44140625" style="3" bestFit="1" customWidth="1"/>
    <col min="3598" max="3598" width="15" style="3" bestFit="1" customWidth="1"/>
    <col min="3599" max="3599" width="13.88671875" style="3" bestFit="1" customWidth="1"/>
    <col min="3600" max="3600" width="11.5546875" style="3" bestFit="1" customWidth="1"/>
    <col min="3601" max="3601" width="11.44140625" style="3"/>
    <col min="3602" max="3604" width="0" style="3" hidden="1" customWidth="1"/>
    <col min="3605" max="3605" width="10.88671875" style="3" customWidth="1"/>
    <col min="3606" max="3606" width="11" style="3" customWidth="1"/>
    <col min="3607" max="3607" width="8.88671875" style="3" customWidth="1"/>
    <col min="3608" max="3840" width="11.44140625" style="3"/>
    <col min="3841" max="3843" width="2.6640625" style="3" customWidth="1"/>
    <col min="3844" max="3845" width="10.6640625" style="3" customWidth="1"/>
    <col min="3846" max="3846" width="40.88671875" style="3" customWidth="1"/>
    <col min="3847" max="3847" width="18.88671875" style="3" bestFit="1" customWidth="1"/>
    <col min="3848" max="3848" width="13.109375" style="3" customWidth="1"/>
    <col min="3849" max="3849" width="9.6640625" style="3" customWidth="1"/>
    <col min="3850" max="3850" width="16.33203125" style="3" customWidth="1"/>
    <col min="3851" max="3852" width="2.6640625" style="3" customWidth="1"/>
    <col min="3853" max="3853" width="12.44140625" style="3" bestFit="1" customWidth="1"/>
    <col min="3854" max="3854" width="15" style="3" bestFit="1" customWidth="1"/>
    <col min="3855" max="3855" width="13.88671875" style="3" bestFit="1" customWidth="1"/>
    <col min="3856" max="3856" width="11.5546875" style="3" bestFit="1" customWidth="1"/>
    <col min="3857" max="3857" width="11.44140625" style="3"/>
    <col min="3858" max="3860" width="0" style="3" hidden="1" customWidth="1"/>
    <col min="3861" max="3861" width="10.88671875" style="3" customWidth="1"/>
    <col min="3862" max="3862" width="11" style="3" customWidth="1"/>
    <col min="3863" max="3863" width="8.88671875" style="3" customWidth="1"/>
    <col min="3864" max="4096" width="11.44140625" style="3"/>
    <col min="4097" max="4099" width="2.6640625" style="3" customWidth="1"/>
    <col min="4100" max="4101" width="10.6640625" style="3" customWidth="1"/>
    <col min="4102" max="4102" width="40.88671875" style="3" customWidth="1"/>
    <col min="4103" max="4103" width="18.88671875" style="3" bestFit="1" customWidth="1"/>
    <col min="4104" max="4104" width="13.109375" style="3" customWidth="1"/>
    <col min="4105" max="4105" width="9.6640625" style="3" customWidth="1"/>
    <col min="4106" max="4106" width="16.33203125" style="3" customWidth="1"/>
    <col min="4107" max="4108" width="2.6640625" style="3" customWidth="1"/>
    <col min="4109" max="4109" width="12.44140625" style="3" bestFit="1" customWidth="1"/>
    <col min="4110" max="4110" width="15" style="3" bestFit="1" customWidth="1"/>
    <col min="4111" max="4111" width="13.88671875" style="3" bestFit="1" customWidth="1"/>
    <col min="4112" max="4112" width="11.5546875" style="3" bestFit="1" customWidth="1"/>
    <col min="4113" max="4113" width="11.44140625" style="3"/>
    <col min="4114" max="4116" width="0" style="3" hidden="1" customWidth="1"/>
    <col min="4117" max="4117" width="10.88671875" style="3" customWidth="1"/>
    <col min="4118" max="4118" width="11" style="3" customWidth="1"/>
    <col min="4119" max="4119" width="8.88671875" style="3" customWidth="1"/>
    <col min="4120" max="4352" width="11.44140625" style="3"/>
    <col min="4353" max="4355" width="2.6640625" style="3" customWidth="1"/>
    <col min="4356" max="4357" width="10.6640625" style="3" customWidth="1"/>
    <col min="4358" max="4358" width="40.88671875" style="3" customWidth="1"/>
    <col min="4359" max="4359" width="18.88671875" style="3" bestFit="1" customWidth="1"/>
    <col min="4360" max="4360" width="13.109375" style="3" customWidth="1"/>
    <col min="4361" max="4361" width="9.6640625" style="3" customWidth="1"/>
    <col min="4362" max="4362" width="16.33203125" style="3" customWidth="1"/>
    <col min="4363" max="4364" width="2.6640625" style="3" customWidth="1"/>
    <col min="4365" max="4365" width="12.44140625" style="3" bestFit="1" customWidth="1"/>
    <col min="4366" max="4366" width="15" style="3" bestFit="1" customWidth="1"/>
    <col min="4367" max="4367" width="13.88671875" style="3" bestFit="1" customWidth="1"/>
    <col min="4368" max="4368" width="11.5546875" style="3" bestFit="1" customWidth="1"/>
    <col min="4369" max="4369" width="11.44140625" style="3"/>
    <col min="4370" max="4372" width="0" style="3" hidden="1" customWidth="1"/>
    <col min="4373" max="4373" width="10.88671875" style="3" customWidth="1"/>
    <col min="4374" max="4374" width="11" style="3" customWidth="1"/>
    <col min="4375" max="4375" width="8.88671875" style="3" customWidth="1"/>
    <col min="4376" max="4608" width="11.44140625" style="3"/>
    <col min="4609" max="4611" width="2.6640625" style="3" customWidth="1"/>
    <col min="4612" max="4613" width="10.6640625" style="3" customWidth="1"/>
    <col min="4614" max="4614" width="40.88671875" style="3" customWidth="1"/>
    <col min="4615" max="4615" width="18.88671875" style="3" bestFit="1" customWidth="1"/>
    <col min="4616" max="4616" width="13.109375" style="3" customWidth="1"/>
    <col min="4617" max="4617" width="9.6640625" style="3" customWidth="1"/>
    <col min="4618" max="4618" width="16.33203125" style="3" customWidth="1"/>
    <col min="4619" max="4620" width="2.6640625" style="3" customWidth="1"/>
    <col min="4621" max="4621" width="12.44140625" style="3" bestFit="1" customWidth="1"/>
    <col min="4622" max="4622" width="15" style="3" bestFit="1" customWidth="1"/>
    <col min="4623" max="4623" width="13.88671875" style="3" bestFit="1" customWidth="1"/>
    <col min="4624" max="4624" width="11.5546875" style="3" bestFit="1" customWidth="1"/>
    <col min="4625" max="4625" width="11.44140625" style="3"/>
    <col min="4626" max="4628" width="0" style="3" hidden="1" customWidth="1"/>
    <col min="4629" max="4629" width="10.88671875" style="3" customWidth="1"/>
    <col min="4630" max="4630" width="11" style="3" customWidth="1"/>
    <col min="4631" max="4631" width="8.88671875" style="3" customWidth="1"/>
    <col min="4632" max="4864" width="11.44140625" style="3"/>
    <col min="4865" max="4867" width="2.6640625" style="3" customWidth="1"/>
    <col min="4868" max="4869" width="10.6640625" style="3" customWidth="1"/>
    <col min="4870" max="4870" width="40.88671875" style="3" customWidth="1"/>
    <col min="4871" max="4871" width="18.88671875" style="3" bestFit="1" customWidth="1"/>
    <col min="4872" max="4872" width="13.109375" style="3" customWidth="1"/>
    <col min="4873" max="4873" width="9.6640625" style="3" customWidth="1"/>
    <col min="4874" max="4874" width="16.33203125" style="3" customWidth="1"/>
    <col min="4875" max="4876" width="2.6640625" style="3" customWidth="1"/>
    <col min="4877" max="4877" width="12.44140625" style="3" bestFit="1" customWidth="1"/>
    <col min="4878" max="4878" width="15" style="3" bestFit="1" customWidth="1"/>
    <col min="4879" max="4879" width="13.88671875" style="3" bestFit="1" customWidth="1"/>
    <col min="4880" max="4880" width="11.5546875" style="3" bestFit="1" customWidth="1"/>
    <col min="4881" max="4881" width="11.44140625" style="3"/>
    <col min="4882" max="4884" width="0" style="3" hidden="1" customWidth="1"/>
    <col min="4885" max="4885" width="10.88671875" style="3" customWidth="1"/>
    <col min="4886" max="4886" width="11" style="3" customWidth="1"/>
    <col min="4887" max="4887" width="8.88671875" style="3" customWidth="1"/>
    <col min="4888" max="5120" width="11.44140625" style="3"/>
    <col min="5121" max="5123" width="2.6640625" style="3" customWidth="1"/>
    <col min="5124" max="5125" width="10.6640625" style="3" customWidth="1"/>
    <col min="5126" max="5126" width="40.88671875" style="3" customWidth="1"/>
    <col min="5127" max="5127" width="18.88671875" style="3" bestFit="1" customWidth="1"/>
    <col min="5128" max="5128" width="13.109375" style="3" customWidth="1"/>
    <col min="5129" max="5129" width="9.6640625" style="3" customWidth="1"/>
    <col min="5130" max="5130" width="16.33203125" style="3" customWidth="1"/>
    <col min="5131" max="5132" width="2.6640625" style="3" customWidth="1"/>
    <col min="5133" max="5133" width="12.44140625" style="3" bestFit="1" customWidth="1"/>
    <col min="5134" max="5134" width="15" style="3" bestFit="1" customWidth="1"/>
    <col min="5135" max="5135" width="13.88671875" style="3" bestFit="1" customWidth="1"/>
    <col min="5136" max="5136" width="11.5546875" style="3" bestFit="1" customWidth="1"/>
    <col min="5137" max="5137" width="11.44140625" style="3"/>
    <col min="5138" max="5140" width="0" style="3" hidden="1" customWidth="1"/>
    <col min="5141" max="5141" width="10.88671875" style="3" customWidth="1"/>
    <col min="5142" max="5142" width="11" style="3" customWidth="1"/>
    <col min="5143" max="5143" width="8.88671875" style="3" customWidth="1"/>
    <col min="5144" max="5376" width="11.44140625" style="3"/>
    <col min="5377" max="5379" width="2.6640625" style="3" customWidth="1"/>
    <col min="5380" max="5381" width="10.6640625" style="3" customWidth="1"/>
    <col min="5382" max="5382" width="40.88671875" style="3" customWidth="1"/>
    <col min="5383" max="5383" width="18.88671875" style="3" bestFit="1" customWidth="1"/>
    <col min="5384" max="5384" width="13.109375" style="3" customWidth="1"/>
    <col min="5385" max="5385" width="9.6640625" style="3" customWidth="1"/>
    <col min="5386" max="5386" width="16.33203125" style="3" customWidth="1"/>
    <col min="5387" max="5388" width="2.6640625" style="3" customWidth="1"/>
    <col min="5389" max="5389" width="12.44140625" style="3" bestFit="1" customWidth="1"/>
    <col min="5390" max="5390" width="15" style="3" bestFit="1" customWidth="1"/>
    <col min="5391" max="5391" width="13.88671875" style="3" bestFit="1" customWidth="1"/>
    <col min="5392" max="5392" width="11.5546875" style="3" bestFit="1" customWidth="1"/>
    <col min="5393" max="5393" width="11.44140625" style="3"/>
    <col min="5394" max="5396" width="0" style="3" hidden="1" customWidth="1"/>
    <col min="5397" max="5397" width="10.88671875" style="3" customWidth="1"/>
    <col min="5398" max="5398" width="11" style="3" customWidth="1"/>
    <col min="5399" max="5399" width="8.88671875" style="3" customWidth="1"/>
    <col min="5400" max="5632" width="11.44140625" style="3"/>
    <col min="5633" max="5635" width="2.6640625" style="3" customWidth="1"/>
    <col min="5636" max="5637" width="10.6640625" style="3" customWidth="1"/>
    <col min="5638" max="5638" width="40.88671875" style="3" customWidth="1"/>
    <col min="5639" max="5639" width="18.88671875" style="3" bestFit="1" customWidth="1"/>
    <col min="5640" max="5640" width="13.109375" style="3" customWidth="1"/>
    <col min="5641" max="5641" width="9.6640625" style="3" customWidth="1"/>
    <col min="5642" max="5642" width="16.33203125" style="3" customWidth="1"/>
    <col min="5643" max="5644" width="2.6640625" style="3" customWidth="1"/>
    <col min="5645" max="5645" width="12.44140625" style="3" bestFit="1" customWidth="1"/>
    <col min="5646" max="5646" width="15" style="3" bestFit="1" customWidth="1"/>
    <col min="5647" max="5647" width="13.88671875" style="3" bestFit="1" customWidth="1"/>
    <col min="5648" max="5648" width="11.5546875" style="3" bestFit="1" customWidth="1"/>
    <col min="5649" max="5649" width="11.44140625" style="3"/>
    <col min="5650" max="5652" width="0" style="3" hidden="1" customWidth="1"/>
    <col min="5653" max="5653" width="10.88671875" style="3" customWidth="1"/>
    <col min="5654" max="5654" width="11" style="3" customWidth="1"/>
    <col min="5655" max="5655" width="8.88671875" style="3" customWidth="1"/>
    <col min="5656" max="5888" width="11.44140625" style="3"/>
    <col min="5889" max="5891" width="2.6640625" style="3" customWidth="1"/>
    <col min="5892" max="5893" width="10.6640625" style="3" customWidth="1"/>
    <col min="5894" max="5894" width="40.88671875" style="3" customWidth="1"/>
    <col min="5895" max="5895" width="18.88671875" style="3" bestFit="1" customWidth="1"/>
    <col min="5896" max="5896" width="13.109375" style="3" customWidth="1"/>
    <col min="5897" max="5897" width="9.6640625" style="3" customWidth="1"/>
    <col min="5898" max="5898" width="16.33203125" style="3" customWidth="1"/>
    <col min="5899" max="5900" width="2.6640625" style="3" customWidth="1"/>
    <col min="5901" max="5901" width="12.44140625" style="3" bestFit="1" customWidth="1"/>
    <col min="5902" max="5902" width="15" style="3" bestFit="1" customWidth="1"/>
    <col min="5903" max="5903" width="13.88671875" style="3" bestFit="1" customWidth="1"/>
    <col min="5904" max="5904" width="11.5546875" style="3" bestFit="1" customWidth="1"/>
    <col min="5905" max="5905" width="11.44140625" style="3"/>
    <col min="5906" max="5908" width="0" style="3" hidden="1" customWidth="1"/>
    <col min="5909" max="5909" width="10.88671875" style="3" customWidth="1"/>
    <col min="5910" max="5910" width="11" style="3" customWidth="1"/>
    <col min="5911" max="5911" width="8.88671875" style="3" customWidth="1"/>
    <col min="5912" max="6144" width="11.44140625" style="3"/>
    <col min="6145" max="6147" width="2.6640625" style="3" customWidth="1"/>
    <col min="6148" max="6149" width="10.6640625" style="3" customWidth="1"/>
    <col min="6150" max="6150" width="40.88671875" style="3" customWidth="1"/>
    <col min="6151" max="6151" width="18.88671875" style="3" bestFit="1" customWidth="1"/>
    <col min="6152" max="6152" width="13.109375" style="3" customWidth="1"/>
    <col min="6153" max="6153" width="9.6640625" style="3" customWidth="1"/>
    <col min="6154" max="6154" width="16.33203125" style="3" customWidth="1"/>
    <col min="6155" max="6156" width="2.6640625" style="3" customWidth="1"/>
    <col min="6157" max="6157" width="12.44140625" style="3" bestFit="1" customWidth="1"/>
    <col min="6158" max="6158" width="15" style="3" bestFit="1" customWidth="1"/>
    <col min="6159" max="6159" width="13.88671875" style="3" bestFit="1" customWidth="1"/>
    <col min="6160" max="6160" width="11.5546875" style="3" bestFit="1" customWidth="1"/>
    <col min="6161" max="6161" width="11.44140625" style="3"/>
    <col min="6162" max="6164" width="0" style="3" hidden="1" customWidth="1"/>
    <col min="6165" max="6165" width="10.88671875" style="3" customWidth="1"/>
    <col min="6166" max="6166" width="11" style="3" customWidth="1"/>
    <col min="6167" max="6167" width="8.88671875" style="3" customWidth="1"/>
    <col min="6168" max="6400" width="11.44140625" style="3"/>
    <col min="6401" max="6403" width="2.6640625" style="3" customWidth="1"/>
    <col min="6404" max="6405" width="10.6640625" style="3" customWidth="1"/>
    <col min="6406" max="6406" width="40.88671875" style="3" customWidth="1"/>
    <col min="6407" max="6407" width="18.88671875" style="3" bestFit="1" customWidth="1"/>
    <col min="6408" max="6408" width="13.109375" style="3" customWidth="1"/>
    <col min="6409" max="6409" width="9.6640625" style="3" customWidth="1"/>
    <col min="6410" max="6410" width="16.33203125" style="3" customWidth="1"/>
    <col min="6411" max="6412" width="2.6640625" style="3" customWidth="1"/>
    <col min="6413" max="6413" width="12.44140625" style="3" bestFit="1" customWidth="1"/>
    <col min="6414" max="6414" width="15" style="3" bestFit="1" customWidth="1"/>
    <col min="6415" max="6415" width="13.88671875" style="3" bestFit="1" customWidth="1"/>
    <col min="6416" max="6416" width="11.5546875" style="3" bestFit="1" customWidth="1"/>
    <col min="6417" max="6417" width="11.44140625" style="3"/>
    <col min="6418" max="6420" width="0" style="3" hidden="1" customWidth="1"/>
    <col min="6421" max="6421" width="10.88671875" style="3" customWidth="1"/>
    <col min="6422" max="6422" width="11" style="3" customWidth="1"/>
    <col min="6423" max="6423" width="8.88671875" style="3" customWidth="1"/>
    <col min="6424" max="6656" width="11.44140625" style="3"/>
    <col min="6657" max="6659" width="2.6640625" style="3" customWidth="1"/>
    <col min="6660" max="6661" width="10.6640625" style="3" customWidth="1"/>
    <col min="6662" max="6662" width="40.88671875" style="3" customWidth="1"/>
    <col min="6663" max="6663" width="18.88671875" style="3" bestFit="1" customWidth="1"/>
    <col min="6664" max="6664" width="13.109375" style="3" customWidth="1"/>
    <col min="6665" max="6665" width="9.6640625" style="3" customWidth="1"/>
    <col min="6666" max="6666" width="16.33203125" style="3" customWidth="1"/>
    <col min="6667" max="6668" width="2.6640625" style="3" customWidth="1"/>
    <col min="6669" max="6669" width="12.44140625" style="3" bestFit="1" customWidth="1"/>
    <col min="6670" max="6670" width="15" style="3" bestFit="1" customWidth="1"/>
    <col min="6671" max="6671" width="13.88671875" style="3" bestFit="1" customWidth="1"/>
    <col min="6672" max="6672" width="11.5546875" style="3" bestFit="1" customWidth="1"/>
    <col min="6673" max="6673" width="11.44140625" style="3"/>
    <col min="6674" max="6676" width="0" style="3" hidden="1" customWidth="1"/>
    <col min="6677" max="6677" width="10.88671875" style="3" customWidth="1"/>
    <col min="6678" max="6678" width="11" style="3" customWidth="1"/>
    <col min="6679" max="6679" width="8.88671875" style="3" customWidth="1"/>
    <col min="6680" max="6912" width="11.44140625" style="3"/>
    <col min="6913" max="6915" width="2.6640625" style="3" customWidth="1"/>
    <col min="6916" max="6917" width="10.6640625" style="3" customWidth="1"/>
    <col min="6918" max="6918" width="40.88671875" style="3" customWidth="1"/>
    <col min="6919" max="6919" width="18.88671875" style="3" bestFit="1" customWidth="1"/>
    <col min="6920" max="6920" width="13.109375" style="3" customWidth="1"/>
    <col min="6921" max="6921" width="9.6640625" style="3" customWidth="1"/>
    <col min="6922" max="6922" width="16.33203125" style="3" customWidth="1"/>
    <col min="6923" max="6924" width="2.6640625" style="3" customWidth="1"/>
    <col min="6925" max="6925" width="12.44140625" style="3" bestFit="1" customWidth="1"/>
    <col min="6926" max="6926" width="15" style="3" bestFit="1" customWidth="1"/>
    <col min="6927" max="6927" width="13.88671875" style="3" bestFit="1" customWidth="1"/>
    <col min="6928" max="6928" width="11.5546875" style="3" bestFit="1" customWidth="1"/>
    <col min="6929" max="6929" width="11.44140625" style="3"/>
    <col min="6930" max="6932" width="0" style="3" hidden="1" customWidth="1"/>
    <col min="6933" max="6933" width="10.88671875" style="3" customWidth="1"/>
    <col min="6934" max="6934" width="11" style="3" customWidth="1"/>
    <col min="6935" max="6935" width="8.88671875" style="3" customWidth="1"/>
    <col min="6936" max="7168" width="11.44140625" style="3"/>
    <col min="7169" max="7171" width="2.6640625" style="3" customWidth="1"/>
    <col min="7172" max="7173" width="10.6640625" style="3" customWidth="1"/>
    <col min="7174" max="7174" width="40.88671875" style="3" customWidth="1"/>
    <col min="7175" max="7175" width="18.88671875" style="3" bestFit="1" customWidth="1"/>
    <col min="7176" max="7176" width="13.109375" style="3" customWidth="1"/>
    <col min="7177" max="7177" width="9.6640625" style="3" customWidth="1"/>
    <col min="7178" max="7178" width="16.33203125" style="3" customWidth="1"/>
    <col min="7179" max="7180" width="2.6640625" style="3" customWidth="1"/>
    <col min="7181" max="7181" width="12.44140625" style="3" bestFit="1" customWidth="1"/>
    <col min="7182" max="7182" width="15" style="3" bestFit="1" customWidth="1"/>
    <col min="7183" max="7183" width="13.88671875" style="3" bestFit="1" customWidth="1"/>
    <col min="7184" max="7184" width="11.5546875" style="3" bestFit="1" customWidth="1"/>
    <col min="7185" max="7185" width="11.44140625" style="3"/>
    <col min="7186" max="7188" width="0" style="3" hidden="1" customWidth="1"/>
    <col min="7189" max="7189" width="10.88671875" style="3" customWidth="1"/>
    <col min="7190" max="7190" width="11" style="3" customWidth="1"/>
    <col min="7191" max="7191" width="8.88671875" style="3" customWidth="1"/>
    <col min="7192" max="7424" width="11.44140625" style="3"/>
    <col min="7425" max="7427" width="2.6640625" style="3" customWidth="1"/>
    <col min="7428" max="7429" width="10.6640625" style="3" customWidth="1"/>
    <col min="7430" max="7430" width="40.88671875" style="3" customWidth="1"/>
    <col min="7431" max="7431" width="18.88671875" style="3" bestFit="1" customWidth="1"/>
    <col min="7432" max="7432" width="13.109375" style="3" customWidth="1"/>
    <col min="7433" max="7433" width="9.6640625" style="3" customWidth="1"/>
    <col min="7434" max="7434" width="16.33203125" style="3" customWidth="1"/>
    <col min="7435" max="7436" width="2.6640625" style="3" customWidth="1"/>
    <col min="7437" max="7437" width="12.44140625" style="3" bestFit="1" customWidth="1"/>
    <col min="7438" max="7438" width="15" style="3" bestFit="1" customWidth="1"/>
    <col min="7439" max="7439" width="13.88671875" style="3" bestFit="1" customWidth="1"/>
    <col min="7440" max="7440" width="11.5546875" style="3" bestFit="1" customWidth="1"/>
    <col min="7441" max="7441" width="11.44140625" style="3"/>
    <col min="7442" max="7444" width="0" style="3" hidden="1" customWidth="1"/>
    <col min="7445" max="7445" width="10.88671875" style="3" customWidth="1"/>
    <col min="7446" max="7446" width="11" style="3" customWidth="1"/>
    <col min="7447" max="7447" width="8.88671875" style="3" customWidth="1"/>
    <col min="7448" max="7680" width="11.44140625" style="3"/>
    <col min="7681" max="7683" width="2.6640625" style="3" customWidth="1"/>
    <col min="7684" max="7685" width="10.6640625" style="3" customWidth="1"/>
    <col min="7686" max="7686" width="40.88671875" style="3" customWidth="1"/>
    <col min="7687" max="7687" width="18.88671875" style="3" bestFit="1" customWidth="1"/>
    <col min="7688" max="7688" width="13.109375" style="3" customWidth="1"/>
    <col min="7689" max="7689" width="9.6640625" style="3" customWidth="1"/>
    <col min="7690" max="7690" width="16.33203125" style="3" customWidth="1"/>
    <col min="7691" max="7692" width="2.6640625" style="3" customWidth="1"/>
    <col min="7693" max="7693" width="12.44140625" style="3" bestFit="1" customWidth="1"/>
    <col min="7694" max="7694" width="15" style="3" bestFit="1" customWidth="1"/>
    <col min="7695" max="7695" width="13.88671875" style="3" bestFit="1" customWidth="1"/>
    <col min="7696" max="7696" width="11.5546875" style="3" bestFit="1" customWidth="1"/>
    <col min="7697" max="7697" width="11.44140625" style="3"/>
    <col min="7698" max="7700" width="0" style="3" hidden="1" customWidth="1"/>
    <col min="7701" max="7701" width="10.88671875" style="3" customWidth="1"/>
    <col min="7702" max="7702" width="11" style="3" customWidth="1"/>
    <col min="7703" max="7703" width="8.88671875" style="3" customWidth="1"/>
    <col min="7704" max="7936" width="11.44140625" style="3"/>
    <col min="7937" max="7939" width="2.6640625" style="3" customWidth="1"/>
    <col min="7940" max="7941" width="10.6640625" style="3" customWidth="1"/>
    <col min="7942" max="7942" width="40.88671875" style="3" customWidth="1"/>
    <col min="7943" max="7943" width="18.88671875" style="3" bestFit="1" customWidth="1"/>
    <col min="7944" max="7944" width="13.109375" style="3" customWidth="1"/>
    <col min="7945" max="7945" width="9.6640625" style="3" customWidth="1"/>
    <col min="7946" max="7946" width="16.33203125" style="3" customWidth="1"/>
    <col min="7947" max="7948" width="2.6640625" style="3" customWidth="1"/>
    <col min="7949" max="7949" width="12.44140625" style="3" bestFit="1" customWidth="1"/>
    <col min="7950" max="7950" width="15" style="3" bestFit="1" customWidth="1"/>
    <col min="7951" max="7951" width="13.88671875" style="3" bestFit="1" customWidth="1"/>
    <col min="7952" max="7952" width="11.5546875" style="3" bestFit="1" customWidth="1"/>
    <col min="7953" max="7953" width="11.44140625" style="3"/>
    <col min="7954" max="7956" width="0" style="3" hidden="1" customWidth="1"/>
    <col min="7957" max="7957" width="10.88671875" style="3" customWidth="1"/>
    <col min="7958" max="7958" width="11" style="3" customWidth="1"/>
    <col min="7959" max="7959" width="8.88671875" style="3" customWidth="1"/>
    <col min="7960" max="8192" width="11.44140625" style="3"/>
    <col min="8193" max="8195" width="2.6640625" style="3" customWidth="1"/>
    <col min="8196" max="8197" width="10.6640625" style="3" customWidth="1"/>
    <col min="8198" max="8198" width="40.88671875" style="3" customWidth="1"/>
    <col min="8199" max="8199" width="18.88671875" style="3" bestFit="1" customWidth="1"/>
    <col min="8200" max="8200" width="13.109375" style="3" customWidth="1"/>
    <col min="8201" max="8201" width="9.6640625" style="3" customWidth="1"/>
    <col min="8202" max="8202" width="16.33203125" style="3" customWidth="1"/>
    <col min="8203" max="8204" width="2.6640625" style="3" customWidth="1"/>
    <col min="8205" max="8205" width="12.44140625" style="3" bestFit="1" customWidth="1"/>
    <col min="8206" max="8206" width="15" style="3" bestFit="1" customWidth="1"/>
    <col min="8207" max="8207" width="13.88671875" style="3" bestFit="1" customWidth="1"/>
    <col min="8208" max="8208" width="11.5546875" style="3" bestFit="1" customWidth="1"/>
    <col min="8209" max="8209" width="11.44140625" style="3"/>
    <col min="8210" max="8212" width="0" style="3" hidden="1" customWidth="1"/>
    <col min="8213" max="8213" width="10.88671875" style="3" customWidth="1"/>
    <col min="8214" max="8214" width="11" style="3" customWidth="1"/>
    <col min="8215" max="8215" width="8.88671875" style="3" customWidth="1"/>
    <col min="8216" max="8448" width="11.44140625" style="3"/>
    <col min="8449" max="8451" width="2.6640625" style="3" customWidth="1"/>
    <col min="8452" max="8453" width="10.6640625" style="3" customWidth="1"/>
    <col min="8454" max="8454" width="40.88671875" style="3" customWidth="1"/>
    <col min="8455" max="8455" width="18.88671875" style="3" bestFit="1" customWidth="1"/>
    <col min="8456" max="8456" width="13.109375" style="3" customWidth="1"/>
    <col min="8457" max="8457" width="9.6640625" style="3" customWidth="1"/>
    <col min="8458" max="8458" width="16.33203125" style="3" customWidth="1"/>
    <col min="8459" max="8460" width="2.6640625" style="3" customWidth="1"/>
    <col min="8461" max="8461" width="12.44140625" style="3" bestFit="1" customWidth="1"/>
    <col min="8462" max="8462" width="15" style="3" bestFit="1" customWidth="1"/>
    <col min="8463" max="8463" width="13.88671875" style="3" bestFit="1" customWidth="1"/>
    <col min="8464" max="8464" width="11.5546875" style="3" bestFit="1" customWidth="1"/>
    <col min="8465" max="8465" width="11.44140625" style="3"/>
    <col min="8466" max="8468" width="0" style="3" hidden="1" customWidth="1"/>
    <col min="8469" max="8469" width="10.88671875" style="3" customWidth="1"/>
    <col min="8470" max="8470" width="11" style="3" customWidth="1"/>
    <col min="8471" max="8471" width="8.88671875" style="3" customWidth="1"/>
    <col min="8472" max="8704" width="11.44140625" style="3"/>
    <col min="8705" max="8707" width="2.6640625" style="3" customWidth="1"/>
    <col min="8708" max="8709" width="10.6640625" style="3" customWidth="1"/>
    <col min="8710" max="8710" width="40.88671875" style="3" customWidth="1"/>
    <col min="8711" max="8711" width="18.88671875" style="3" bestFit="1" customWidth="1"/>
    <col min="8712" max="8712" width="13.109375" style="3" customWidth="1"/>
    <col min="8713" max="8713" width="9.6640625" style="3" customWidth="1"/>
    <col min="8714" max="8714" width="16.33203125" style="3" customWidth="1"/>
    <col min="8715" max="8716" width="2.6640625" style="3" customWidth="1"/>
    <col min="8717" max="8717" width="12.44140625" style="3" bestFit="1" customWidth="1"/>
    <col min="8718" max="8718" width="15" style="3" bestFit="1" customWidth="1"/>
    <col min="8719" max="8719" width="13.88671875" style="3" bestFit="1" customWidth="1"/>
    <col min="8720" max="8720" width="11.5546875" style="3" bestFit="1" customWidth="1"/>
    <col min="8721" max="8721" width="11.44140625" style="3"/>
    <col min="8722" max="8724" width="0" style="3" hidden="1" customWidth="1"/>
    <col min="8725" max="8725" width="10.88671875" style="3" customWidth="1"/>
    <col min="8726" max="8726" width="11" style="3" customWidth="1"/>
    <col min="8727" max="8727" width="8.88671875" style="3" customWidth="1"/>
    <col min="8728" max="8960" width="11.44140625" style="3"/>
    <col min="8961" max="8963" width="2.6640625" style="3" customWidth="1"/>
    <col min="8964" max="8965" width="10.6640625" style="3" customWidth="1"/>
    <col min="8966" max="8966" width="40.88671875" style="3" customWidth="1"/>
    <col min="8967" max="8967" width="18.88671875" style="3" bestFit="1" customWidth="1"/>
    <col min="8968" max="8968" width="13.109375" style="3" customWidth="1"/>
    <col min="8969" max="8969" width="9.6640625" style="3" customWidth="1"/>
    <col min="8970" max="8970" width="16.33203125" style="3" customWidth="1"/>
    <col min="8971" max="8972" width="2.6640625" style="3" customWidth="1"/>
    <col min="8973" max="8973" width="12.44140625" style="3" bestFit="1" customWidth="1"/>
    <col min="8974" max="8974" width="15" style="3" bestFit="1" customWidth="1"/>
    <col min="8975" max="8975" width="13.88671875" style="3" bestFit="1" customWidth="1"/>
    <col min="8976" max="8976" width="11.5546875" style="3" bestFit="1" customWidth="1"/>
    <col min="8977" max="8977" width="11.44140625" style="3"/>
    <col min="8978" max="8980" width="0" style="3" hidden="1" customWidth="1"/>
    <col min="8981" max="8981" width="10.88671875" style="3" customWidth="1"/>
    <col min="8982" max="8982" width="11" style="3" customWidth="1"/>
    <col min="8983" max="8983" width="8.88671875" style="3" customWidth="1"/>
    <col min="8984" max="9216" width="11.44140625" style="3"/>
    <col min="9217" max="9219" width="2.6640625" style="3" customWidth="1"/>
    <col min="9220" max="9221" width="10.6640625" style="3" customWidth="1"/>
    <col min="9222" max="9222" width="40.88671875" style="3" customWidth="1"/>
    <col min="9223" max="9223" width="18.88671875" style="3" bestFit="1" customWidth="1"/>
    <col min="9224" max="9224" width="13.109375" style="3" customWidth="1"/>
    <col min="9225" max="9225" width="9.6640625" style="3" customWidth="1"/>
    <col min="9226" max="9226" width="16.33203125" style="3" customWidth="1"/>
    <col min="9227" max="9228" width="2.6640625" style="3" customWidth="1"/>
    <col min="9229" max="9229" width="12.44140625" style="3" bestFit="1" customWidth="1"/>
    <col min="9230" max="9230" width="15" style="3" bestFit="1" customWidth="1"/>
    <col min="9231" max="9231" width="13.88671875" style="3" bestFit="1" customWidth="1"/>
    <col min="9232" max="9232" width="11.5546875" style="3" bestFit="1" customWidth="1"/>
    <col min="9233" max="9233" width="11.44140625" style="3"/>
    <col min="9234" max="9236" width="0" style="3" hidden="1" customWidth="1"/>
    <col min="9237" max="9237" width="10.88671875" style="3" customWidth="1"/>
    <col min="9238" max="9238" width="11" style="3" customWidth="1"/>
    <col min="9239" max="9239" width="8.88671875" style="3" customWidth="1"/>
    <col min="9240" max="9472" width="11.44140625" style="3"/>
    <col min="9473" max="9475" width="2.6640625" style="3" customWidth="1"/>
    <col min="9476" max="9477" width="10.6640625" style="3" customWidth="1"/>
    <col min="9478" max="9478" width="40.88671875" style="3" customWidth="1"/>
    <col min="9479" max="9479" width="18.88671875" style="3" bestFit="1" customWidth="1"/>
    <col min="9480" max="9480" width="13.109375" style="3" customWidth="1"/>
    <col min="9481" max="9481" width="9.6640625" style="3" customWidth="1"/>
    <col min="9482" max="9482" width="16.33203125" style="3" customWidth="1"/>
    <col min="9483" max="9484" width="2.6640625" style="3" customWidth="1"/>
    <col min="9485" max="9485" width="12.44140625" style="3" bestFit="1" customWidth="1"/>
    <col min="9486" max="9486" width="15" style="3" bestFit="1" customWidth="1"/>
    <col min="9487" max="9487" width="13.88671875" style="3" bestFit="1" customWidth="1"/>
    <col min="9488" max="9488" width="11.5546875" style="3" bestFit="1" customWidth="1"/>
    <col min="9489" max="9489" width="11.44140625" style="3"/>
    <col min="9490" max="9492" width="0" style="3" hidden="1" customWidth="1"/>
    <col min="9493" max="9493" width="10.88671875" style="3" customWidth="1"/>
    <col min="9494" max="9494" width="11" style="3" customWidth="1"/>
    <col min="9495" max="9495" width="8.88671875" style="3" customWidth="1"/>
    <col min="9496" max="9728" width="11.44140625" style="3"/>
    <col min="9729" max="9731" width="2.6640625" style="3" customWidth="1"/>
    <col min="9732" max="9733" width="10.6640625" style="3" customWidth="1"/>
    <col min="9734" max="9734" width="40.88671875" style="3" customWidth="1"/>
    <col min="9735" max="9735" width="18.88671875" style="3" bestFit="1" customWidth="1"/>
    <col min="9736" max="9736" width="13.109375" style="3" customWidth="1"/>
    <col min="9737" max="9737" width="9.6640625" style="3" customWidth="1"/>
    <col min="9738" max="9738" width="16.33203125" style="3" customWidth="1"/>
    <col min="9739" max="9740" width="2.6640625" style="3" customWidth="1"/>
    <col min="9741" max="9741" width="12.44140625" style="3" bestFit="1" customWidth="1"/>
    <col min="9742" max="9742" width="15" style="3" bestFit="1" customWidth="1"/>
    <col min="9743" max="9743" width="13.88671875" style="3" bestFit="1" customWidth="1"/>
    <col min="9744" max="9744" width="11.5546875" style="3" bestFit="1" customWidth="1"/>
    <col min="9745" max="9745" width="11.44140625" style="3"/>
    <col min="9746" max="9748" width="0" style="3" hidden="1" customWidth="1"/>
    <col min="9749" max="9749" width="10.88671875" style="3" customWidth="1"/>
    <col min="9750" max="9750" width="11" style="3" customWidth="1"/>
    <col min="9751" max="9751" width="8.88671875" style="3" customWidth="1"/>
    <col min="9752" max="9984" width="11.44140625" style="3"/>
    <col min="9985" max="9987" width="2.6640625" style="3" customWidth="1"/>
    <col min="9988" max="9989" width="10.6640625" style="3" customWidth="1"/>
    <col min="9990" max="9990" width="40.88671875" style="3" customWidth="1"/>
    <col min="9991" max="9991" width="18.88671875" style="3" bestFit="1" customWidth="1"/>
    <col min="9992" max="9992" width="13.109375" style="3" customWidth="1"/>
    <col min="9993" max="9993" width="9.6640625" style="3" customWidth="1"/>
    <col min="9994" max="9994" width="16.33203125" style="3" customWidth="1"/>
    <col min="9995" max="9996" width="2.6640625" style="3" customWidth="1"/>
    <col min="9997" max="9997" width="12.44140625" style="3" bestFit="1" customWidth="1"/>
    <col min="9998" max="9998" width="15" style="3" bestFit="1" customWidth="1"/>
    <col min="9999" max="9999" width="13.88671875" style="3" bestFit="1" customWidth="1"/>
    <col min="10000" max="10000" width="11.5546875" style="3" bestFit="1" customWidth="1"/>
    <col min="10001" max="10001" width="11.44140625" style="3"/>
    <col min="10002" max="10004" width="0" style="3" hidden="1" customWidth="1"/>
    <col min="10005" max="10005" width="10.88671875" style="3" customWidth="1"/>
    <col min="10006" max="10006" width="11" style="3" customWidth="1"/>
    <col min="10007" max="10007" width="8.88671875" style="3" customWidth="1"/>
    <col min="10008" max="10240" width="11.44140625" style="3"/>
    <col min="10241" max="10243" width="2.6640625" style="3" customWidth="1"/>
    <col min="10244" max="10245" width="10.6640625" style="3" customWidth="1"/>
    <col min="10246" max="10246" width="40.88671875" style="3" customWidth="1"/>
    <col min="10247" max="10247" width="18.88671875" style="3" bestFit="1" customWidth="1"/>
    <col min="10248" max="10248" width="13.109375" style="3" customWidth="1"/>
    <col min="10249" max="10249" width="9.6640625" style="3" customWidth="1"/>
    <col min="10250" max="10250" width="16.33203125" style="3" customWidth="1"/>
    <col min="10251" max="10252" width="2.6640625" style="3" customWidth="1"/>
    <col min="10253" max="10253" width="12.44140625" style="3" bestFit="1" customWidth="1"/>
    <col min="10254" max="10254" width="15" style="3" bestFit="1" customWidth="1"/>
    <col min="10255" max="10255" width="13.88671875" style="3" bestFit="1" customWidth="1"/>
    <col min="10256" max="10256" width="11.5546875" style="3" bestFit="1" customWidth="1"/>
    <col min="10257" max="10257" width="11.44140625" style="3"/>
    <col min="10258" max="10260" width="0" style="3" hidden="1" customWidth="1"/>
    <col min="10261" max="10261" width="10.88671875" style="3" customWidth="1"/>
    <col min="10262" max="10262" width="11" style="3" customWidth="1"/>
    <col min="10263" max="10263" width="8.88671875" style="3" customWidth="1"/>
    <col min="10264" max="10496" width="11.44140625" style="3"/>
    <col min="10497" max="10499" width="2.6640625" style="3" customWidth="1"/>
    <col min="10500" max="10501" width="10.6640625" style="3" customWidth="1"/>
    <col min="10502" max="10502" width="40.88671875" style="3" customWidth="1"/>
    <col min="10503" max="10503" width="18.88671875" style="3" bestFit="1" customWidth="1"/>
    <col min="10504" max="10504" width="13.109375" style="3" customWidth="1"/>
    <col min="10505" max="10505" width="9.6640625" style="3" customWidth="1"/>
    <col min="10506" max="10506" width="16.33203125" style="3" customWidth="1"/>
    <col min="10507" max="10508" width="2.6640625" style="3" customWidth="1"/>
    <col min="10509" max="10509" width="12.44140625" style="3" bestFit="1" customWidth="1"/>
    <col min="10510" max="10510" width="15" style="3" bestFit="1" customWidth="1"/>
    <col min="10511" max="10511" width="13.88671875" style="3" bestFit="1" customWidth="1"/>
    <col min="10512" max="10512" width="11.5546875" style="3" bestFit="1" customWidth="1"/>
    <col min="10513" max="10513" width="11.44140625" style="3"/>
    <col min="10514" max="10516" width="0" style="3" hidden="1" customWidth="1"/>
    <col min="10517" max="10517" width="10.88671875" style="3" customWidth="1"/>
    <col min="10518" max="10518" width="11" style="3" customWidth="1"/>
    <col min="10519" max="10519" width="8.88671875" style="3" customWidth="1"/>
    <col min="10520" max="10752" width="11.44140625" style="3"/>
    <col min="10753" max="10755" width="2.6640625" style="3" customWidth="1"/>
    <col min="10756" max="10757" width="10.6640625" style="3" customWidth="1"/>
    <col min="10758" max="10758" width="40.88671875" style="3" customWidth="1"/>
    <col min="10759" max="10759" width="18.88671875" style="3" bestFit="1" customWidth="1"/>
    <col min="10760" max="10760" width="13.109375" style="3" customWidth="1"/>
    <col min="10761" max="10761" width="9.6640625" style="3" customWidth="1"/>
    <col min="10762" max="10762" width="16.33203125" style="3" customWidth="1"/>
    <col min="10763" max="10764" width="2.6640625" style="3" customWidth="1"/>
    <col min="10765" max="10765" width="12.44140625" style="3" bestFit="1" customWidth="1"/>
    <col min="10766" max="10766" width="15" style="3" bestFit="1" customWidth="1"/>
    <col min="10767" max="10767" width="13.88671875" style="3" bestFit="1" customWidth="1"/>
    <col min="10768" max="10768" width="11.5546875" style="3" bestFit="1" customWidth="1"/>
    <col min="10769" max="10769" width="11.44140625" style="3"/>
    <col min="10770" max="10772" width="0" style="3" hidden="1" customWidth="1"/>
    <col min="10773" max="10773" width="10.88671875" style="3" customWidth="1"/>
    <col min="10774" max="10774" width="11" style="3" customWidth="1"/>
    <col min="10775" max="10775" width="8.88671875" style="3" customWidth="1"/>
    <col min="10776" max="11008" width="11.44140625" style="3"/>
    <col min="11009" max="11011" width="2.6640625" style="3" customWidth="1"/>
    <col min="11012" max="11013" width="10.6640625" style="3" customWidth="1"/>
    <col min="11014" max="11014" width="40.88671875" style="3" customWidth="1"/>
    <col min="11015" max="11015" width="18.88671875" style="3" bestFit="1" customWidth="1"/>
    <col min="11016" max="11016" width="13.109375" style="3" customWidth="1"/>
    <col min="11017" max="11017" width="9.6640625" style="3" customWidth="1"/>
    <col min="11018" max="11018" width="16.33203125" style="3" customWidth="1"/>
    <col min="11019" max="11020" width="2.6640625" style="3" customWidth="1"/>
    <col min="11021" max="11021" width="12.44140625" style="3" bestFit="1" customWidth="1"/>
    <col min="11022" max="11022" width="15" style="3" bestFit="1" customWidth="1"/>
    <col min="11023" max="11023" width="13.88671875" style="3" bestFit="1" customWidth="1"/>
    <col min="11024" max="11024" width="11.5546875" style="3" bestFit="1" customWidth="1"/>
    <col min="11025" max="11025" width="11.44140625" style="3"/>
    <col min="11026" max="11028" width="0" style="3" hidden="1" customWidth="1"/>
    <col min="11029" max="11029" width="10.88671875" style="3" customWidth="1"/>
    <col min="11030" max="11030" width="11" style="3" customWidth="1"/>
    <col min="11031" max="11031" width="8.88671875" style="3" customWidth="1"/>
    <col min="11032" max="11264" width="11.44140625" style="3"/>
    <col min="11265" max="11267" width="2.6640625" style="3" customWidth="1"/>
    <col min="11268" max="11269" width="10.6640625" style="3" customWidth="1"/>
    <col min="11270" max="11270" width="40.88671875" style="3" customWidth="1"/>
    <col min="11271" max="11271" width="18.88671875" style="3" bestFit="1" customWidth="1"/>
    <col min="11272" max="11272" width="13.109375" style="3" customWidth="1"/>
    <col min="11273" max="11273" width="9.6640625" style="3" customWidth="1"/>
    <col min="11274" max="11274" width="16.33203125" style="3" customWidth="1"/>
    <col min="11275" max="11276" width="2.6640625" style="3" customWidth="1"/>
    <col min="11277" max="11277" width="12.44140625" style="3" bestFit="1" customWidth="1"/>
    <col min="11278" max="11278" width="15" style="3" bestFit="1" customWidth="1"/>
    <col min="11279" max="11279" width="13.88671875" style="3" bestFit="1" customWidth="1"/>
    <col min="11280" max="11280" width="11.5546875" style="3" bestFit="1" customWidth="1"/>
    <col min="11281" max="11281" width="11.44140625" style="3"/>
    <col min="11282" max="11284" width="0" style="3" hidden="1" customWidth="1"/>
    <col min="11285" max="11285" width="10.88671875" style="3" customWidth="1"/>
    <col min="11286" max="11286" width="11" style="3" customWidth="1"/>
    <col min="11287" max="11287" width="8.88671875" style="3" customWidth="1"/>
    <col min="11288" max="11520" width="11.44140625" style="3"/>
    <col min="11521" max="11523" width="2.6640625" style="3" customWidth="1"/>
    <col min="11524" max="11525" width="10.6640625" style="3" customWidth="1"/>
    <col min="11526" max="11526" width="40.88671875" style="3" customWidth="1"/>
    <col min="11527" max="11527" width="18.88671875" style="3" bestFit="1" customWidth="1"/>
    <col min="11528" max="11528" width="13.109375" style="3" customWidth="1"/>
    <col min="11529" max="11529" width="9.6640625" style="3" customWidth="1"/>
    <col min="11530" max="11530" width="16.33203125" style="3" customWidth="1"/>
    <col min="11531" max="11532" width="2.6640625" style="3" customWidth="1"/>
    <col min="11533" max="11533" width="12.44140625" style="3" bestFit="1" customWidth="1"/>
    <col min="11534" max="11534" width="15" style="3" bestFit="1" customWidth="1"/>
    <col min="11535" max="11535" width="13.88671875" style="3" bestFit="1" customWidth="1"/>
    <col min="11536" max="11536" width="11.5546875" style="3" bestFit="1" customWidth="1"/>
    <col min="11537" max="11537" width="11.44140625" style="3"/>
    <col min="11538" max="11540" width="0" style="3" hidden="1" customWidth="1"/>
    <col min="11541" max="11541" width="10.88671875" style="3" customWidth="1"/>
    <col min="11542" max="11542" width="11" style="3" customWidth="1"/>
    <col min="11543" max="11543" width="8.88671875" style="3" customWidth="1"/>
    <col min="11544" max="11776" width="11.44140625" style="3"/>
    <col min="11777" max="11779" width="2.6640625" style="3" customWidth="1"/>
    <col min="11780" max="11781" width="10.6640625" style="3" customWidth="1"/>
    <col min="11782" max="11782" width="40.88671875" style="3" customWidth="1"/>
    <col min="11783" max="11783" width="18.88671875" style="3" bestFit="1" customWidth="1"/>
    <col min="11784" max="11784" width="13.109375" style="3" customWidth="1"/>
    <col min="11785" max="11785" width="9.6640625" style="3" customWidth="1"/>
    <col min="11786" max="11786" width="16.33203125" style="3" customWidth="1"/>
    <col min="11787" max="11788" width="2.6640625" style="3" customWidth="1"/>
    <col min="11789" max="11789" width="12.44140625" style="3" bestFit="1" customWidth="1"/>
    <col min="11790" max="11790" width="15" style="3" bestFit="1" customWidth="1"/>
    <col min="11791" max="11791" width="13.88671875" style="3" bestFit="1" customWidth="1"/>
    <col min="11792" max="11792" width="11.5546875" style="3" bestFit="1" customWidth="1"/>
    <col min="11793" max="11793" width="11.44140625" style="3"/>
    <col min="11794" max="11796" width="0" style="3" hidden="1" customWidth="1"/>
    <col min="11797" max="11797" width="10.88671875" style="3" customWidth="1"/>
    <col min="11798" max="11798" width="11" style="3" customWidth="1"/>
    <col min="11799" max="11799" width="8.88671875" style="3" customWidth="1"/>
    <col min="11800" max="12032" width="11.44140625" style="3"/>
    <col min="12033" max="12035" width="2.6640625" style="3" customWidth="1"/>
    <col min="12036" max="12037" width="10.6640625" style="3" customWidth="1"/>
    <col min="12038" max="12038" width="40.88671875" style="3" customWidth="1"/>
    <col min="12039" max="12039" width="18.88671875" style="3" bestFit="1" customWidth="1"/>
    <col min="12040" max="12040" width="13.109375" style="3" customWidth="1"/>
    <col min="12041" max="12041" width="9.6640625" style="3" customWidth="1"/>
    <col min="12042" max="12042" width="16.33203125" style="3" customWidth="1"/>
    <col min="12043" max="12044" width="2.6640625" style="3" customWidth="1"/>
    <col min="12045" max="12045" width="12.44140625" style="3" bestFit="1" customWidth="1"/>
    <col min="12046" max="12046" width="15" style="3" bestFit="1" customWidth="1"/>
    <col min="12047" max="12047" width="13.88671875" style="3" bestFit="1" customWidth="1"/>
    <col min="12048" max="12048" width="11.5546875" style="3" bestFit="1" customWidth="1"/>
    <col min="12049" max="12049" width="11.44140625" style="3"/>
    <col min="12050" max="12052" width="0" style="3" hidden="1" customWidth="1"/>
    <col min="12053" max="12053" width="10.88671875" style="3" customWidth="1"/>
    <col min="12054" max="12054" width="11" style="3" customWidth="1"/>
    <col min="12055" max="12055" width="8.88671875" style="3" customWidth="1"/>
    <col min="12056" max="12288" width="11.44140625" style="3"/>
    <col min="12289" max="12291" width="2.6640625" style="3" customWidth="1"/>
    <col min="12292" max="12293" width="10.6640625" style="3" customWidth="1"/>
    <col min="12294" max="12294" width="40.88671875" style="3" customWidth="1"/>
    <col min="12295" max="12295" width="18.88671875" style="3" bestFit="1" customWidth="1"/>
    <col min="12296" max="12296" width="13.109375" style="3" customWidth="1"/>
    <col min="12297" max="12297" width="9.6640625" style="3" customWidth="1"/>
    <col min="12298" max="12298" width="16.33203125" style="3" customWidth="1"/>
    <col min="12299" max="12300" width="2.6640625" style="3" customWidth="1"/>
    <col min="12301" max="12301" width="12.44140625" style="3" bestFit="1" customWidth="1"/>
    <col min="12302" max="12302" width="15" style="3" bestFit="1" customWidth="1"/>
    <col min="12303" max="12303" width="13.88671875" style="3" bestFit="1" customWidth="1"/>
    <col min="12304" max="12304" width="11.5546875" style="3" bestFit="1" customWidth="1"/>
    <col min="12305" max="12305" width="11.44140625" style="3"/>
    <col min="12306" max="12308" width="0" style="3" hidden="1" customWidth="1"/>
    <col min="12309" max="12309" width="10.88671875" style="3" customWidth="1"/>
    <col min="12310" max="12310" width="11" style="3" customWidth="1"/>
    <col min="12311" max="12311" width="8.88671875" style="3" customWidth="1"/>
    <col min="12312" max="12544" width="11.44140625" style="3"/>
    <col min="12545" max="12547" width="2.6640625" style="3" customWidth="1"/>
    <col min="12548" max="12549" width="10.6640625" style="3" customWidth="1"/>
    <col min="12550" max="12550" width="40.88671875" style="3" customWidth="1"/>
    <col min="12551" max="12551" width="18.88671875" style="3" bestFit="1" customWidth="1"/>
    <col min="12552" max="12552" width="13.109375" style="3" customWidth="1"/>
    <col min="12553" max="12553" width="9.6640625" style="3" customWidth="1"/>
    <col min="12554" max="12554" width="16.33203125" style="3" customWidth="1"/>
    <col min="12555" max="12556" width="2.6640625" style="3" customWidth="1"/>
    <col min="12557" max="12557" width="12.44140625" style="3" bestFit="1" customWidth="1"/>
    <col min="12558" max="12558" width="15" style="3" bestFit="1" customWidth="1"/>
    <col min="12559" max="12559" width="13.88671875" style="3" bestFit="1" customWidth="1"/>
    <col min="12560" max="12560" width="11.5546875" style="3" bestFit="1" customWidth="1"/>
    <col min="12561" max="12561" width="11.44140625" style="3"/>
    <col min="12562" max="12564" width="0" style="3" hidden="1" customWidth="1"/>
    <col min="12565" max="12565" width="10.88671875" style="3" customWidth="1"/>
    <col min="12566" max="12566" width="11" style="3" customWidth="1"/>
    <col min="12567" max="12567" width="8.88671875" style="3" customWidth="1"/>
    <col min="12568" max="12800" width="11.44140625" style="3"/>
    <col min="12801" max="12803" width="2.6640625" style="3" customWidth="1"/>
    <col min="12804" max="12805" width="10.6640625" style="3" customWidth="1"/>
    <col min="12806" max="12806" width="40.88671875" style="3" customWidth="1"/>
    <col min="12807" max="12807" width="18.88671875" style="3" bestFit="1" customWidth="1"/>
    <col min="12808" max="12808" width="13.109375" style="3" customWidth="1"/>
    <col min="12809" max="12809" width="9.6640625" style="3" customWidth="1"/>
    <col min="12810" max="12810" width="16.33203125" style="3" customWidth="1"/>
    <col min="12811" max="12812" width="2.6640625" style="3" customWidth="1"/>
    <col min="12813" max="12813" width="12.44140625" style="3" bestFit="1" customWidth="1"/>
    <col min="12814" max="12814" width="15" style="3" bestFit="1" customWidth="1"/>
    <col min="12815" max="12815" width="13.88671875" style="3" bestFit="1" customWidth="1"/>
    <col min="12816" max="12816" width="11.5546875" style="3" bestFit="1" customWidth="1"/>
    <col min="12817" max="12817" width="11.44140625" style="3"/>
    <col min="12818" max="12820" width="0" style="3" hidden="1" customWidth="1"/>
    <col min="12821" max="12821" width="10.88671875" style="3" customWidth="1"/>
    <col min="12822" max="12822" width="11" style="3" customWidth="1"/>
    <col min="12823" max="12823" width="8.88671875" style="3" customWidth="1"/>
    <col min="12824" max="13056" width="11.44140625" style="3"/>
    <col min="13057" max="13059" width="2.6640625" style="3" customWidth="1"/>
    <col min="13060" max="13061" width="10.6640625" style="3" customWidth="1"/>
    <col min="13062" max="13062" width="40.88671875" style="3" customWidth="1"/>
    <col min="13063" max="13063" width="18.88671875" style="3" bestFit="1" customWidth="1"/>
    <col min="13064" max="13064" width="13.109375" style="3" customWidth="1"/>
    <col min="13065" max="13065" width="9.6640625" style="3" customWidth="1"/>
    <col min="13066" max="13066" width="16.33203125" style="3" customWidth="1"/>
    <col min="13067" max="13068" width="2.6640625" style="3" customWidth="1"/>
    <col min="13069" max="13069" width="12.44140625" style="3" bestFit="1" customWidth="1"/>
    <col min="13070" max="13070" width="15" style="3" bestFit="1" customWidth="1"/>
    <col min="13071" max="13071" width="13.88671875" style="3" bestFit="1" customWidth="1"/>
    <col min="13072" max="13072" width="11.5546875" style="3" bestFit="1" customWidth="1"/>
    <col min="13073" max="13073" width="11.44140625" style="3"/>
    <col min="13074" max="13076" width="0" style="3" hidden="1" customWidth="1"/>
    <col min="13077" max="13077" width="10.88671875" style="3" customWidth="1"/>
    <col min="13078" max="13078" width="11" style="3" customWidth="1"/>
    <col min="13079" max="13079" width="8.88671875" style="3" customWidth="1"/>
    <col min="13080" max="13312" width="11.44140625" style="3"/>
    <col min="13313" max="13315" width="2.6640625" style="3" customWidth="1"/>
    <col min="13316" max="13317" width="10.6640625" style="3" customWidth="1"/>
    <col min="13318" max="13318" width="40.88671875" style="3" customWidth="1"/>
    <col min="13319" max="13319" width="18.88671875" style="3" bestFit="1" customWidth="1"/>
    <col min="13320" max="13320" width="13.109375" style="3" customWidth="1"/>
    <col min="13321" max="13321" width="9.6640625" style="3" customWidth="1"/>
    <col min="13322" max="13322" width="16.33203125" style="3" customWidth="1"/>
    <col min="13323" max="13324" width="2.6640625" style="3" customWidth="1"/>
    <col min="13325" max="13325" width="12.44140625" style="3" bestFit="1" customWidth="1"/>
    <col min="13326" max="13326" width="15" style="3" bestFit="1" customWidth="1"/>
    <col min="13327" max="13327" width="13.88671875" style="3" bestFit="1" customWidth="1"/>
    <col min="13328" max="13328" width="11.5546875" style="3" bestFit="1" customWidth="1"/>
    <col min="13329" max="13329" width="11.44140625" style="3"/>
    <col min="13330" max="13332" width="0" style="3" hidden="1" customWidth="1"/>
    <col min="13333" max="13333" width="10.88671875" style="3" customWidth="1"/>
    <col min="13334" max="13334" width="11" style="3" customWidth="1"/>
    <col min="13335" max="13335" width="8.88671875" style="3" customWidth="1"/>
    <col min="13336" max="13568" width="11.44140625" style="3"/>
    <col min="13569" max="13571" width="2.6640625" style="3" customWidth="1"/>
    <col min="13572" max="13573" width="10.6640625" style="3" customWidth="1"/>
    <col min="13574" max="13574" width="40.88671875" style="3" customWidth="1"/>
    <col min="13575" max="13575" width="18.88671875" style="3" bestFit="1" customWidth="1"/>
    <col min="13576" max="13576" width="13.109375" style="3" customWidth="1"/>
    <col min="13577" max="13577" width="9.6640625" style="3" customWidth="1"/>
    <col min="13578" max="13578" width="16.33203125" style="3" customWidth="1"/>
    <col min="13579" max="13580" width="2.6640625" style="3" customWidth="1"/>
    <col min="13581" max="13581" width="12.44140625" style="3" bestFit="1" customWidth="1"/>
    <col min="13582" max="13582" width="15" style="3" bestFit="1" customWidth="1"/>
    <col min="13583" max="13583" width="13.88671875" style="3" bestFit="1" customWidth="1"/>
    <col min="13584" max="13584" width="11.5546875" style="3" bestFit="1" customWidth="1"/>
    <col min="13585" max="13585" width="11.44140625" style="3"/>
    <col min="13586" max="13588" width="0" style="3" hidden="1" customWidth="1"/>
    <col min="13589" max="13589" width="10.88671875" style="3" customWidth="1"/>
    <col min="13590" max="13590" width="11" style="3" customWidth="1"/>
    <col min="13591" max="13591" width="8.88671875" style="3" customWidth="1"/>
    <col min="13592" max="13824" width="11.44140625" style="3"/>
    <col min="13825" max="13827" width="2.6640625" style="3" customWidth="1"/>
    <col min="13828" max="13829" width="10.6640625" style="3" customWidth="1"/>
    <col min="13830" max="13830" width="40.88671875" style="3" customWidth="1"/>
    <col min="13831" max="13831" width="18.88671875" style="3" bestFit="1" customWidth="1"/>
    <col min="13832" max="13832" width="13.109375" style="3" customWidth="1"/>
    <col min="13833" max="13833" width="9.6640625" style="3" customWidth="1"/>
    <col min="13834" max="13834" width="16.33203125" style="3" customWidth="1"/>
    <col min="13835" max="13836" width="2.6640625" style="3" customWidth="1"/>
    <col min="13837" max="13837" width="12.44140625" style="3" bestFit="1" customWidth="1"/>
    <col min="13838" max="13838" width="15" style="3" bestFit="1" customWidth="1"/>
    <col min="13839" max="13839" width="13.88671875" style="3" bestFit="1" customWidth="1"/>
    <col min="13840" max="13840" width="11.5546875" style="3" bestFit="1" customWidth="1"/>
    <col min="13841" max="13841" width="11.44140625" style="3"/>
    <col min="13842" max="13844" width="0" style="3" hidden="1" customWidth="1"/>
    <col min="13845" max="13845" width="10.88671875" style="3" customWidth="1"/>
    <col min="13846" max="13846" width="11" style="3" customWidth="1"/>
    <col min="13847" max="13847" width="8.88671875" style="3" customWidth="1"/>
    <col min="13848" max="14080" width="11.44140625" style="3"/>
    <col min="14081" max="14083" width="2.6640625" style="3" customWidth="1"/>
    <col min="14084" max="14085" width="10.6640625" style="3" customWidth="1"/>
    <col min="14086" max="14086" width="40.88671875" style="3" customWidth="1"/>
    <col min="14087" max="14087" width="18.88671875" style="3" bestFit="1" customWidth="1"/>
    <col min="14088" max="14088" width="13.109375" style="3" customWidth="1"/>
    <col min="14089" max="14089" width="9.6640625" style="3" customWidth="1"/>
    <col min="14090" max="14090" width="16.33203125" style="3" customWidth="1"/>
    <col min="14091" max="14092" width="2.6640625" style="3" customWidth="1"/>
    <col min="14093" max="14093" width="12.44140625" style="3" bestFit="1" customWidth="1"/>
    <col min="14094" max="14094" width="15" style="3" bestFit="1" customWidth="1"/>
    <col min="14095" max="14095" width="13.88671875" style="3" bestFit="1" customWidth="1"/>
    <col min="14096" max="14096" width="11.5546875" style="3" bestFit="1" customWidth="1"/>
    <col min="14097" max="14097" width="11.44140625" style="3"/>
    <col min="14098" max="14100" width="0" style="3" hidden="1" customWidth="1"/>
    <col min="14101" max="14101" width="10.88671875" style="3" customWidth="1"/>
    <col min="14102" max="14102" width="11" style="3" customWidth="1"/>
    <col min="14103" max="14103" width="8.88671875" style="3" customWidth="1"/>
    <col min="14104" max="14336" width="11.44140625" style="3"/>
    <col min="14337" max="14339" width="2.6640625" style="3" customWidth="1"/>
    <col min="14340" max="14341" width="10.6640625" style="3" customWidth="1"/>
    <col min="14342" max="14342" width="40.88671875" style="3" customWidth="1"/>
    <col min="14343" max="14343" width="18.88671875" style="3" bestFit="1" customWidth="1"/>
    <col min="14344" max="14344" width="13.109375" style="3" customWidth="1"/>
    <col min="14345" max="14345" width="9.6640625" style="3" customWidth="1"/>
    <col min="14346" max="14346" width="16.33203125" style="3" customWidth="1"/>
    <col min="14347" max="14348" width="2.6640625" style="3" customWidth="1"/>
    <col min="14349" max="14349" width="12.44140625" style="3" bestFit="1" customWidth="1"/>
    <col min="14350" max="14350" width="15" style="3" bestFit="1" customWidth="1"/>
    <col min="14351" max="14351" width="13.88671875" style="3" bestFit="1" customWidth="1"/>
    <col min="14352" max="14352" width="11.5546875" style="3" bestFit="1" customWidth="1"/>
    <col min="14353" max="14353" width="11.44140625" style="3"/>
    <col min="14354" max="14356" width="0" style="3" hidden="1" customWidth="1"/>
    <col min="14357" max="14357" width="10.88671875" style="3" customWidth="1"/>
    <col min="14358" max="14358" width="11" style="3" customWidth="1"/>
    <col min="14359" max="14359" width="8.88671875" style="3" customWidth="1"/>
    <col min="14360" max="14592" width="11.44140625" style="3"/>
    <col min="14593" max="14595" width="2.6640625" style="3" customWidth="1"/>
    <col min="14596" max="14597" width="10.6640625" style="3" customWidth="1"/>
    <col min="14598" max="14598" width="40.88671875" style="3" customWidth="1"/>
    <col min="14599" max="14599" width="18.88671875" style="3" bestFit="1" customWidth="1"/>
    <col min="14600" max="14600" width="13.109375" style="3" customWidth="1"/>
    <col min="14601" max="14601" width="9.6640625" style="3" customWidth="1"/>
    <col min="14602" max="14602" width="16.33203125" style="3" customWidth="1"/>
    <col min="14603" max="14604" width="2.6640625" style="3" customWidth="1"/>
    <col min="14605" max="14605" width="12.44140625" style="3" bestFit="1" customWidth="1"/>
    <col min="14606" max="14606" width="15" style="3" bestFit="1" customWidth="1"/>
    <col min="14607" max="14607" width="13.88671875" style="3" bestFit="1" customWidth="1"/>
    <col min="14608" max="14608" width="11.5546875" style="3" bestFit="1" customWidth="1"/>
    <col min="14609" max="14609" width="11.44140625" style="3"/>
    <col min="14610" max="14612" width="0" style="3" hidden="1" customWidth="1"/>
    <col min="14613" max="14613" width="10.88671875" style="3" customWidth="1"/>
    <col min="14614" max="14614" width="11" style="3" customWidth="1"/>
    <col min="14615" max="14615" width="8.88671875" style="3" customWidth="1"/>
    <col min="14616" max="14848" width="11.44140625" style="3"/>
    <col min="14849" max="14851" width="2.6640625" style="3" customWidth="1"/>
    <col min="14852" max="14853" width="10.6640625" style="3" customWidth="1"/>
    <col min="14854" max="14854" width="40.88671875" style="3" customWidth="1"/>
    <col min="14855" max="14855" width="18.88671875" style="3" bestFit="1" customWidth="1"/>
    <col min="14856" max="14856" width="13.109375" style="3" customWidth="1"/>
    <col min="14857" max="14857" width="9.6640625" style="3" customWidth="1"/>
    <col min="14858" max="14858" width="16.33203125" style="3" customWidth="1"/>
    <col min="14859" max="14860" width="2.6640625" style="3" customWidth="1"/>
    <col min="14861" max="14861" width="12.44140625" style="3" bestFit="1" customWidth="1"/>
    <col min="14862" max="14862" width="15" style="3" bestFit="1" customWidth="1"/>
    <col min="14863" max="14863" width="13.88671875" style="3" bestFit="1" customWidth="1"/>
    <col min="14864" max="14864" width="11.5546875" style="3" bestFit="1" customWidth="1"/>
    <col min="14865" max="14865" width="11.44140625" style="3"/>
    <col min="14866" max="14868" width="0" style="3" hidden="1" customWidth="1"/>
    <col min="14869" max="14869" width="10.88671875" style="3" customWidth="1"/>
    <col min="14870" max="14870" width="11" style="3" customWidth="1"/>
    <col min="14871" max="14871" width="8.88671875" style="3" customWidth="1"/>
    <col min="14872" max="15104" width="11.44140625" style="3"/>
    <col min="15105" max="15107" width="2.6640625" style="3" customWidth="1"/>
    <col min="15108" max="15109" width="10.6640625" style="3" customWidth="1"/>
    <col min="15110" max="15110" width="40.88671875" style="3" customWidth="1"/>
    <col min="15111" max="15111" width="18.88671875" style="3" bestFit="1" customWidth="1"/>
    <col min="15112" max="15112" width="13.109375" style="3" customWidth="1"/>
    <col min="15113" max="15113" width="9.6640625" style="3" customWidth="1"/>
    <col min="15114" max="15114" width="16.33203125" style="3" customWidth="1"/>
    <col min="15115" max="15116" width="2.6640625" style="3" customWidth="1"/>
    <col min="15117" max="15117" width="12.44140625" style="3" bestFit="1" customWidth="1"/>
    <col min="15118" max="15118" width="15" style="3" bestFit="1" customWidth="1"/>
    <col min="15119" max="15119" width="13.88671875" style="3" bestFit="1" customWidth="1"/>
    <col min="15120" max="15120" width="11.5546875" style="3" bestFit="1" customWidth="1"/>
    <col min="15121" max="15121" width="11.44140625" style="3"/>
    <col min="15122" max="15124" width="0" style="3" hidden="1" customWidth="1"/>
    <col min="15125" max="15125" width="10.88671875" style="3" customWidth="1"/>
    <col min="15126" max="15126" width="11" style="3" customWidth="1"/>
    <col min="15127" max="15127" width="8.88671875" style="3" customWidth="1"/>
    <col min="15128" max="15360" width="11.44140625" style="3"/>
    <col min="15361" max="15363" width="2.6640625" style="3" customWidth="1"/>
    <col min="15364" max="15365" width="10.6640625" style="3" customWidth="1"/>
    <col min="15366" max="15366" width="40.88671875" style="3" customWidth="1"/>
    <col min="15367" max="15367" width="18.88671875" style="3" bestFit="1" customWidth="1"/>
    <col min="15368" max="15368" width="13.109375" style="3" customWidth="1"/>
    <col min="15369" max="15369" width="9.6640625" style="3" customWidth="1"/>
    <col min="15370" max="15370" width="16.33203125" style="3" customWidth="1"/>
    <col min="15371" max="15372" width="2.6640625" style="3" customWidth="1"/>
    <col min="15373" max="15373" width="12.44140625" style="3" bestFit="1" customWidth="1"/>
    <col min="15374" max="15374" width="15" style="3" bestFit="1" customWidth="1"/>
    <col min="15375" max="15375" width="13.88671875" style="3" bestFit="1" customWidth="1"/>
    <col min="15376" max="15376" width="11.5546875" style="3" bestFit="1" customWidth="1"/>
    <col min="15377" max="15377" width="11.44140625" style="3"/>
    <col min="15378" max="15380" width="0" style="3" hidden="1" customWidth="1"/>
    <col min="15381" max="15381" width="10.88671875" style="3" customWidth="1"/>
    <col min="15382" max="15382" width="11" style="3" customWidth="1"/>
    <col min="15383" max="15383" width="8.88671875" style="3" customWidth="1"/>
    <col min="15384" max="15616" width="11.44140625" style="3"/>
    <col min="15617" max="15619" width="2.6640625" style="3" customWidth="1"/>
    <col min="15620" max="15621" width="10.6640625" style="3" customWidth="1"/>
    <col min="15622" max="15622" width="40.88671875" style="3" customWidth="1"/>
    <col min="15623" max="15623" width="18.88671875" style="3" bestFit="1" customWidth="1"/>
    <col min="15624" max="15624" width="13.109375" style="3" customWidth="1"/>
    <col min="15625" max="15625" width="9.6640625" style="3" customWidth="1"/>
    <col min="15626" max="15626" width="16.33203125" style="3" customWidth="1"/>
    <col min="15627" max="15628" width="2.6640625" style="3" customWidth="1"/>
    <col min="15629" max="15629" width="12.44140625" style="3" bestFit="1" customWidth="1"/>
    <col min="15630" max="15630" width="15" style="3" bestFit="1" customWidth="1"/>
    <col min="15631" max="15631" width="13.88671875" style="3" bestFit="1" customWidth="1"/>
    <col min="15632" max="15632" width="11.5546875" style="3" bestFit="1" customWidth="1"/>
    <col min="15633" max="15633" width="11.44140625" style="3"/>
    <col min="15634" max="15636" width="0" style="3" hidden="1" customWidth="1"/>
    <col min="15637" max="15637" width="10.88671875" style="3" customWidth="1"/>
    <col min="15638" max="15638" width="11" style="3" customWidth="1"/>
    <col min="15639" max="15639" width="8.88671875" style="3" customWidth="1"/>
    <col min="15640" max="15872" width="11.44140625" style="3"/>
    <col min="15873" max="15875" width="2.6640625" style="3" customWidth="1"/>
    <col min="15876" max="15877" width="10.6640625" style="3" customWidth="1"/>
    <col min="15878" max="15878" width="40.88671875" style="3" customWidth="1"/>
    <col min="15879" max="15879" width="18.88671875" style="3" bestFit="1" customWidth="1"/>
    <col min="15880" max="15880" width="13.109375" style="3" customWidth="1"/>
    <col min="15881" max="15881" width="9.6640625" style="3" customWidth="1"/>
    <col min="15882" max="15882" width="16.33203125" style="3" customWidth="1"/>
    <col min="15883" max="15884" width="2.6640625" style="3" customWidth="1"/>
    <col min="15885" max="15885" width="12.44140625" style="3" bestFit="1" customWidth="1"/>
    <col min="15886" max="15886" width="15" style="3" bestFit="1" customWidth="1"/>
    <col min="15887" max="15887" width="13.88671875" style="3" bestFit="1" customWidth="1"/>
    <col min="15888" max="15888" width="11.5546875" style="3" bestFit="1" customWidth="1"/>
    <col min="15889" max="15889" width="11.44140625" style="3"/>
    <col min="15890" max="15892" width="0" style="3" hidden="1" customWidth="1"/>
    <col min="15893" max="15893" width="10.88671875" style="3" customWidth="1"/>
    <col min="15894" max="15894" width="11" style="3" customWidth="1"/>
    <col min="15895" max="15895" width="8.88671875" style="3" customWidth="1"/>
    <col min="15896" max="16128" width="11.44140625" style="3"/>
    <col min="16129" max="16131" width="2.6640625" style="3" customWidth="1"/>
    <col min="16132" max="16133" width="10.6640625" style="3" customWidth="1"/>
    <col min="16134" max="16134" width="40.88671875" style="3" customWidth="1"/>
    <col min="16135" max="16135" width="18.88671875" style="3" bestFit="1" customWidth="1"/>
    <col min="16136" max="16136" width="13.109375" style="3" customWidth="1"/>
    <col min="16137" max="16137" width="9.6640625" style="3" customWidth="1"/>
    <col min="16138" max="16138" width="16.33203125" style="3" customWidth="1"/>
    <col min="16139" max="16140" width="2.6640625" style="3" customWidth="1"/>
    <col min="16141" max="16141" width="12.44140625" style="3" bestFit="1" customWidth="1"/>
    <col min="16142" max="16142" width="15" style="3" bestFit="1" customWidth="1"/>
    <col min="16143" max="16143" width="13.88671875" style="3" bestFit="1" customWidth="1"/>
    <col min="16144" max="16144" width="11.5546875" style="3" bestFit="1" customWidth="1"/>
    <col min="16145" max="16145" width="11.44140625" style="3"/>
    <col min="16146" max="16148" width="0" style="3" hidden="1" customWidth="1"/>
    <col min="16149" max="16149" width="10.88671875" style="3" customWidth="1"/>
    <col min="16150" max="16150" width="11" style="3" customWidth="1"/>
    <col min="16151" max="16151" width="8.88671875" style="3" customWidth="1"/>
    <col min="16152" max="16384" width="11.44140625" style="3"/>
  </cols>
  <sheetData>
    <row r="1" spans="1:23" ht="14.1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1"/>
      <c r="S1" s="3" t="s">
        <v>0</v>
      </c>
      <c r="T1" s="4">
        <f>365/12</f>
        <v>30.416666666666668</v>
      </c>
    </row>
    <row r="2" spans="1:23" s="4" customFormat="1" ht="15.75" customHeight="1" x14ac:dyDescent="0.3">
      <c r="A2" s="5"/>
      <c r="B2" s="6"/>
      <c r="C2" s="7"/>
      <c r="D2" s="8"/>
      <c r="E2" s="9"/>
      <c r="F2" s="10"/>
      <c r="G2" s="11"/>
      <c r="H2" s="11"/>
      <c r="I2" s="12"/>
      <c r="K2" s="13"/>
      <c r="L2" s="5"/>
      <c r="M2" s="14" t="s">
        <v>1</v>
      </c>
      <c r="O2" s="14" t="s">
        <v>2</v>
      </c>
      <c r="P2" s="15">
        <v>45931</v>
      </c>
      <c r="S2" s="16" t="s">
        <v>3</v>
      </c>
      <c r="T2" s="16" t="s">
        <v>4</v>
      </c>
      <c r="U2" s="16" t="s">
        <v>5</v>
      </c>
      <c r="V2" s="16" t="s">
        <v>6</v>
      </c>
      <c r="W2" s="16" t="s">
        <v>7</v>
      </c>
    </row>
    <row r="3" spans="1:23" s="4" customFormat="1" ht="17.399999999999999" x14ac:dyDescent="0.3">
      <c r="A3" s="5"/>
      <c r="B3" s="6"/>
      <c r="C3" s="7"/>
      <c r="D3" s="17"/>
      <c r="E3" s="9"/>
      <c r="F3" s="10"/>
      <c r="G3" s="11"/>
      <c r="H3" s="11"/>
      <c r="I3" s="18"/>
      <c r="K3" s="13"/>
      <c r="L3" s="5"/>
      <c r="M3" s="14"/>
      <c r="O3" s="14"/>
      <c r="P3" s="15"/>
      <c r="S3" s="16"/>
      <c r="T3" s="16"/>
      <c r="U3" s="16"/>
      <c r="V3" s="16"/>
      <c r="W3" s="16"/>
    </row>
    <row r="4" spans="1:23" s="4" customFormat="1" ht="35.4" x14ac:dyDescent="0.55000000000000004">
      <c r="A4" s="5"/>
      <c r="B4" s="6"/>
      <c r="C4" s="7"/>
      <c r="D4" s="17"/>
      <c r="E4" s="9"/>
      <c r="F4" s="156"/>
      <c r="G4" s="11"/>
      <c r="H4" s="11"/>
      <c r="I4" s="19"/>
      <c r="K4" s="13"/>
      <c r="L4" s="5"/>
      <c r="M4" s="14"/>
      <c r="O4" s="14"/>
      <c r="P4" s="15"/>
      <c r="S4" s="16"/>
      <c r="T4" s="16"/>
      <c r="U4" s="16"/>
      <c r="V4" s="16"/>
      <c r="W4" s="16"/>
    </row>
    <row r="5" spans="1:23" s="4" customFormat="1" ht="15.75" customHeight="1" x14ac:dyDescent="0.3">
      <c r="A5" s="5"/>
      <c r="B5" s="6"/>
      <c r="C5" s="7"/>
      <c r="D5" s="17"/>
      <c r="E5" s="9"/>
      <c r="F5" s="10"/>
      <c r="G5" s="11"/>
      <c r="H5" s="11"/>
      <c r="I5" s="11"/>
      <c r="J5" s="11"/>
      <c r="K5" s="13"/>
      <c r="L5" s="5"/>
      <c r="M5" s="14"/>
      <c r="O5" s="14"/>
      <c r="P5" s="15"/>
      <c r="S5" s="16"/>
      <c r="T5" s="16"/>
      <c r="U5" s="16"/>
      <c r="V5" s="16"/>
      <c r="W5" s="16"/>
    </row>
    <row r="6" spans="1:23" s="4" customFormat="1" ht="15.75" customHeight="1" x14ac:dyDescent="0.3">
      <c r="A6" s="5"/>
      <c r="B6" s="6"/>
      <c r="C6" s="7"/>
      <c r="E6" s="9"/>
      <c r="F6" s="17"/>
      <c r="G6" s="11"/>
      <c r="H6" s="11"/>
      <c r="I6" s="11"/>
      <c r="J6" s="11"/>
      <c r="K6" s="13"/>
      <c r="L6" s="5"/>
      <c r="M6" s="14"/>
      <c r="O6" s="14"/>
      <c r="P6" s="15"/>
      <c r="S6" s="16"/>
      <c r="T6" s="16"/>
      <c r="U6" s="16"/>
      <c r="V6" s="16"/>
      <c r="W6" s="16"/>
    </row>
    <row r="7" spans="1:23" s="4" customFormat="1" ht="15.75" customHeight="1" x14ac:dyDescent="0.25">
      <c r="A7" s="5"/>
      <c r="C7" s="7"/>
      <c r="D7" s="7"/>
      <c r="E7" s="9"/>
      <c r="F7" s="10"/>
      <c r="G7" s="11"/>
      <c r="H7" s="11"/>
      <c r="I7" s="11"/>
      <c r="J7" s="11"/>
      <c r="K7" s="13"/>
      <c r="L7" s="5"/>
      <c r="M7" s="14"/>
      <c r="O7" s="14"/>
      <c r="P7" s="15"/>
      <c r="S7" s="16"/>
      <c r="T7" s="16"/>
      <c r="U7" s="16"/>
      <c r="V7" s="16"/>
      <c r="W7" s="16"/>
    </row>
    <row r="8" spans="1:23" s="4" customFormat="1" ht="15.75" customHeight="1" x14ac:dyDescent="0.3">
      <c r="A8" s="5"/>
      <c r="B8" s="6"/>
      <c r="C8" s="7"/>
      <c r="D8" s="7"/>
      <c r="E8" s="9"/>
      <c r="F8" s="10"/>
      <c r="G8" s="11"/>
      <c r="H8" s="11"/>
      <c r="I8" s="11"/>
      <c r="J8" s="11"/>
      <c r="K8" s="13"/>
      <c r="L8" s="5"/>
      <c r="M8" s="14"/>
      <c r="O8" s="14"/>
      <c r="P8" s="15"/>
      <c r="S8" s="16"/>
      <c r="T8" s="16"/>
      <c r="U8" s="16"/>
      <c r="V8" s="16"/>
      <c r="W8" s="16"/>
    </row>
    <row r="9" spans="1:23" s="4" customFormat="1" ht="15.75" customHeight="1" x14ac:dyDescent="0.25">
      <c r="A9" s="5"/>
      <c r="C9" s="20"/>
      <c r="D9" s="21"/>
      <c r="E9" s="9"/>
      <c r="F9" s="10"/>
      <c r="G9" s="11"/>
      <c r="H9" s="11"/>
      <c r="I9" s="11"/>
      <c r="J9" s="11"/>
      <c r="K9" s="13"/>
      <c r="L9" s="5"/>
      <c r="M9" s="14"/>
      <c r="O9" s="14"/>
      <c r="P9" s="15"/>
      <c r="S9" s="16"/>
      <c r="T9" s="16"/>
      <c r="U9" s="16"/>
      <c r="V9" s="16"/>
      <c r="W9" s="16"/>
    </row>
    <row r="10" spans="1:23" s="4" customFormat="1" ht="15.75" customHeight="1" x14ac:dyDescent="0.25">
      <c r="A10" s="5"/>
      <c r="C10" s="20"/>
      <c r="D10" s="21"/>
      <c r="E10" s="9"/>
      <c r="F10" s="10"/>
      <c r="G10" s="11"/>
      <c r="H10" s="11"/>
      <c r="I10" s="11"/>
      <c r="J10" s="11"/>
      <c r="K10" s="13"/>
      <c r="L10" s="5"/>
      <c r="M10" s="15">
        <v>45961</v>
      </c>
      <c r="O10" s="14" t="s">
        <v>8</v>
      </c>
      <c r="P10" s="15">
        <v>45961</v>
      </c>
      <c r="S10" s="22">
        <f>M10-F18+1</f>
        <v>5335</v>
      </c>
      <c r="T10" s="23">
        <f>INT(S10/365)</f>
        <v>14</v>
      </c>
      <c r="U10" s="24">
        <f>INT((S10-(T10*365))/$T$1)</f>
        <v>7</v>
      </c>
      <c r="V10" s="22">
        <f>INT(S10-(T10*365)-(U10*$T$1))</f>
        <v>12</v>
      </c>
      <c r="W10" s="25" t="str">
        <f>IF(T10&gt;0,T10&amp;" an(s) "&amp;U10&amp;" mois et "&amp;V10&amp;" jour(s)",IF(U10&gt;0,U10&amp;" mois et "&amp;V10&amp;" jour(s)",IF(V10&gt;0,V10&amp;" jour(s)","")))</f>
        <v>14 an(s) 7 mois et 12 jour(s)</v>
      </c>
    </row>
    <row r="11" spans="1:23" s="4" customFormat="1" ht="15.6" x14ac:dyDescent="0.3">
      <c r="A11" s="5"/>
      <c r="B11" s="21"/>
      <c r="C11" s="11" t="s">
        <v>53</v>
      </c>
      <c r="D11" s="11"/>
      <c r="E11" s="11"/>
      <c r="F11" s="11"/>
      <c r="G11" s="11"/>
      <c r="H11" s="11"/>
      <c r="I11" s="11"/>
      <c r="J11" s="11"/>
      <c r="K11" s="26"/>
      <c r="L11" s="5"/>
    </row>
    <row r="12" spans="1:23" s="4" customFormat="1" ht="15.6" x14ac:dyDescent="0.3">
      <c r="A12" s="5"/>
      <c r="B12" s="27">
        <f>M10</f>
        <v>45961</v>
      </c>
      <c r="C12" s="28"/>
      <c r="D12" s="27"/>
      <c r="E12" s="27"/>
      <c r="F12" s="27"/>
      <c r="G12" s="27"/>
      <c r="H12" s="27"/>
      <c r="I12" s="27"/>
      <c r="J12" s="27"/>
      <c r="K12" s="26"/>
      <c r="L12" s="5"/>
      <c r="P12" s="29" t="str">
        <f>IF(OR(P2=0,P10=0),0,IF(P10-P2+1=VLOOKUP(TEXT(P10,"mm"),'[1]4-1 REFERENCE'!B1:C13,2,FALSE),"1 mois",IF(F15=0,0,P10-P2+1)))</f>
        <v>1 mois</v>
      </c>
    </row>
    <row r="13" spans="1:23" s="4" customFormat="1" ht="6" customHeight="1" x14ac:dyDescent="0.3">
      <c r="A13" s="5"/>
      <c r="C13" s="30"/>
      <c r="D13" s="30"/>
      <c r="E13" s="30"/>
      <c r="F13" s="30"/>
      <c r="G13" s="30"/>
      <c r="H13" s="30"/>
      <c r="I13" s="30"/>
      <c r="J13" s="30"/>
      <c r="K13" s="31"/>
      <c r="L13" s="5"/>
    </row>
    <row r="14" spans="1:23" s="4" customFormat="1" ht="13.2" x14ac:dyDescent="0.3">
      <c r="A14" s="5"/>
      <c r="C14" s="32"/>
      <c r="D14" s="33" t="s">
        <v>9</v>
      </c>
      <c r="F14" s="34" t="s">
        <v>58</v>
      </c>
      <c r="G14" s="35"/>
      <c r="H14" s="36"/>
      <c r="K14" s="37"/>
      <c r="L14" s="5"/>
    </row>
    <row r="15" spans="1:23" s="4" customFormat="1" ht="13.2" x14ac:dyDescent="0.3">
      <c r="A15" s="5"/>
      <c r="C15" s="32"/>
      <c r="D15" s="33" t="s">
        <v>10</v>
      </c>
      <c r="F15" s="38" t="s">
        <v>57</v>
      </c>
      <c r="G15" s="39"/>
      <c r="H15" s="40" t="s">
        <v>11</v>
      </c>
      <c r="J15" s="41" t="s">
        <v>54</v>
      </c>
      <c r="K15" s="42"/>
      <c r="L15" s="5"/>
      <c r="M15" s="4" t="s">
        <v>12</v>
      </c>
    </row>
    <row r="16" spans="1:23" s="4" customFormat="1" ht="15.6" x14ac:dyDescent="0.3">
      <c r="A16" s="5"/>
      <c r="C16" s="32"/>
      <c r="D16" s="33" t="s">
        <v>13</v>
      </c>
      <c r="F16" s="34" t="s">
        <v>64</v>
      </c>
      <c r="G16" s="35"/>
      <c r="H16" s="40" t="s">
        <v>14</v>
      </c>
      <c r="I16" s="43"/>
      <c r="J16" s="44">
        <v>7800000</v>
      </c>
      <c r="K16" s="37"/>
      <c r="L16" s="5"/>
      <c r="M16" s="45">
        <f>+J16+J52</f>
        <v>7800000</v>
      </c>
    </row>
    <row r="17" spans="1:14" s="4" customFormat="1" ht="13.2" x14ac:dyDescent="0.3">
      <c r="A17" s="5"/>
      <c r="C17" s="32"/>
      <c r="D17" s="33" t="s">
        <v>15</v>
      </c>
      <c r="F17" s="46">
        <v>345670000</v>
      </c>
      <c r="G17" s="36"/>
      <c r="H17" s="47" t="s">
        <v>16</v>
      </c>
      <c r="I17" s="43"/>
      <c r="J17" s="48">
        <f>ROUND(J16/30,0)</f>
        <v>260000</v>
      </c>
      <c r="K17" s="49"/>
      <c r="L17" s="5"/>
      <c r="M17" s="48">
        <f>ROUND(M16/30,0)</f>
        <v>260000</v>
      </c>
    </row>
    <row r="18" spans="1:14" s="4" customFormat="1" ht="13.2" x14ac:dyDescent="0.3">
      <c r="A18" s="5"/>
      <c r="C18" s="50"/>
      <c r="D18" s="51" t="s">
        <v>17</v>
      </c>
      <c r="F18" s="148">
        <v>40627</v>
      </c>
      <c r="G18" s="52"/>
      <c r="H18" s="47" t="s">
        <v>18</v>
      </c>
      <c r="I18" s="43"/>
      <c r="J18" s="48">
        <f>ROUND(J16/173.33,0)</f>
        <v>45001</v>
      </c>
      <c r="K18" s="49"/>
      <c r="L18" s="5"/>
      <c r="M18" s="48">
        <f>ROUND(M16/173.33,0)</f>
        <v>45001</v>
      </c>
    </row>
    <row r="19" spans="1:14" s="4" customFormat="1" ht="13.2" x14ac:dyDescent="0.3">
      <c r="A19" s="5"/>
      <c r="C19" s="32"/>
      <c r="D19" s="51" t="s">
        <v>19</v>
      </c>
      <c r="F19" s="53" t="str">
        <f>W10</f>
        <v>14 an(s) 7 mois et 12 jour(s)</v>
      </c>
      <c r="G19" s="35"/>
      <c r="H19" s="47" t="s">
        <v>20</v>
      </c>
      <c r="J19" s="48">
        <f>ROUND(J18/1.334,0)</f>
        <v>33734</v>
      </c>
      <c r="K19" s="49"/>
      <c r="L19" s="5"/>
      <c r="M19" s="48">
        <f>ROUND(M18/1.334,0)</f>
        <v>33734</v>
      </c>
    </row>
    <row r="20" spans="1:14" s="4" customFormat="1" ht="6" customHeight="1" x14ac:dyDescent="0.3">
      <c r="A20" s="5"/>
      <c r="C20" s="32"/>
      <c r="D20" s="35"/>
      <c r="E20" s="35"/>
      <c r="F20" s="35"/>
      <c r="G20" s="35"/>
      <c r="H20" s="54"/>
      <c r="J20" s="55"/>
      <c r="K20" s="49"/>
      <c r="L20" s="5"/>
    </row>
    <row r="21" spans="1:14" s="57" customFormat="1" ht="13.2" x14ac:dyDescent="0.3">
      <c r="A21" s="56"/>
      <c r="C21" s="58" t="s">
        <v>21</v>
      </c>
      <c r="D21" s="59"/>
      <c r="E21" s="59"/>
      <c r="F21" s="59"/>
      <c r="G21" s="60"/>
      <c r="H21" s="61" t="s">
        <v>22</v>
      </c>
      <c r="I21" s="62" t="s">
        <v>23</v>
      </c>
      <c r="J21" s="61" t="s">
        <v>24</v>
      </c>
      <c r="K21" s="63"/>
      <c r="L21" s="56"/>
    </row>
    <row r="22" spans="1:14" s="57" customFormat="1" ht="6" customHeight="1" x14ac:dyDescent="0.3">
      <c r="A22" s="56"/>
      <c r="C22" s="64"/>
      <c r="D22" s="64"/>
      <c r="E22" s="64"/>
      <c r="F22" s="64"/>
      <c r="G22" s="64"/>
      <c r="H22" s="64"/>
      <c r="J22" s="64"/>
      <c r="K22" s="63"/>
      <c r="L22" s="56"/>
    </row>
    <row r="23" spans="1:14" s="66" customFormat="1" ht="15" customHeight="1" x14ac:dyDescent="0.3">
      <c r="A23" s="65"/>
      <c r="C23" s="67"/>
      <c r="D23" s="68" t="str">
        <f>"Salaire du "&amp;TEXT(P2,"DD/mm/YY")&amp;" au "&amp;TEXT(P10,"DD/mM/YY")</f>
        <v>Salaire du 01/10/25 au 31/10/25</v>
      </c>
      <c r="E23" s="68"/>
      <c r="F23" s="68"/>
      <c r="G23" s="68"/>
      <c r="H23" s="69" t="str">
        <f>P12</f>
        <v>1 mois</v>
      </c>
      <c r="I23" s="70">
        <f>$J$17</f>
        <v>260000</v>
      </c>
      <c r="J23" s="70">
        <f>IF(H23="1 mois",J16,I23*H23)</f>
        <v>7800000</v>
      </c>
      <c r="K23" s="71"/>
      <c r="L23" s="65"/>
      <c r="N23" s="72"/>
    </row>
    <row r="24" spans="1:14" s="66" customFormat="1" ht="15" customHeight="1" x14ac:dyDescent="0.3">
      <c r="A24" s="65"/>
      <c r="C24" s="73"/>
      <c r="D24" s="74" t="s">
        <v>25</v>
      </c>
      <c r="E24" s="74"/>
      <c r="F24" s="74"/>
      <c r="G24" s="74"/>
      <c r="H24" s="75"/>
      <c r="I24" s="76">
        <f>$J$17</f>
        <v>260000</v>
      </c>
      <c r="J24" s="76">
        <f>H24*I24</f>
        <v>0</v>
      </c>
      <c r="K24" s="71"/>
      <c r="L24" s="65"/>
      <c r="N24" s="72"/>
    </row>
    <row r="25" spans="1:14" s="66" customFormat="1" ht="15" customHeight="1" x14ac:dyDescent="0.3">
      <c r="A25" s="65"/>
      <c r="C25" s="73"/>
      <c r="D25" s="74" t="s">
        <v>26</v>
      </c>
      <c r="E25" s="74"/>
      <c r="F25" s="74"/>
      <c r="G25" s="74"/>
      <c r="H25" s="77"/>
      <c r="I25" s="76"/>
      <c r="J25" s="78"/>
      <c r="K25" s="71"/>
      <c r="L25" s="65"/>
      <c r="N25" s="72"/>
    </row>
    <row r="26" spans="1:14" s="66" customFormat="1" ht="15" customHeight="1" x14ac:dyDescent="0.3">
      <c r="A26" s="65"/>
      <c r="C26" s="73"/>
      <c r="D26" s="74" t="s">
        <v>27</v>
      </c>
      <c r="E26" s="74"/>
      <c r="F26" s="74"/>
      <c r="G26" s="74"/>
      <c r="H26" s="77"/>
      <c r="I26" s="76"/>
      <c r="J26" s="79"/>
      <c r="K26" s="71"/>
      <c r="L26" s="65"/>
      <c r="N26" s="72"/>
    </row>
    <row r="27" spans="1:14" s="66" customFormat="1" ht="15" customHeight="1" x14ac:dyDescent="0.3">
      <c r="A27" s="65"/>
      <c r="C27" s="73"/>
      <c r="D27" s="74" t="s">
        <v>28</v>
      </c>
      <c r="E27" s="74"/>
      <c r="F27" s="74"/>
      <c r="G27" s="74"/>
      <c r="H27" s="80"/>
      <c r="I27" s="76">
        <f>ROUND($J$18*1.3,0)</f>
        <v>58501</v>
      </c>
      <c r="J27" s="76">
        <f>+H27*I27</f>
        <v>0</v>
      </c>
      <c r="K27" s="71"/>
      <c r="L27" s="65"/>
      <c r="M27" s="81"/>
      <c r="N27" s="72"/>
    </row>
    <row r="28" spans="1:14" s="66" customFormat="1" ht="15" customHeight="1" x14ac:dyDescent="0.3">
      <c r="A28" s="65"/>
      <c r="C28" s="73"/>
      <c r="D28" s="74" t="s">
        <v>29</v>
      </c>
      <c r="E28" s="74"/>
      <c r="F28" s="74"/>
      <c r="G28" s="74"/>
      <c r="H28" s="80"/>
      <c r="I28" s="76">
        <f>ROUND($J$18*1.4,0)</f>
        <v>63001</v>
      </c>
      <c r="J28" s="76">
        <f>+H28*I28</f>
        <v>0</v>
      </c>
      <c r="K28" s="71"/>
      <c r="L28" s="65"/>
      <c r="N28" s="72"/>
    </row>
    <row r="29" spans="1:14" s="66" customFormat="1" ht="15" customHeight="1" x14ac:dyDescent="0.3">
      <c r="A29" s="65"/>
      <c r="C29" s="73"/>
      <c r="D29" s="74" t="s">
        <v>30</v>
      </c>
      <c r="E29" s="74"/>
      <c r="F29" s="74"/>
      <c r="G29" s="74"/>
      <c r="H29" s="80"/>
      <c r="I29" s="76">
        <f>ROUND($J$18*1.5,0)</f>
        <v>67502</v>
      </c>
      <c r="J29" s="76">
        <f>+H29*I29</f>
        <v>0</v>
      </c>
      <c r="K29" s="71"/>
      <c r="L29" s="65"/>
      <c r="N29" s="72"/>
    </row>
    <row r="30" spans="1:14" s="66" customFormat="1" ht="15" customHeight="1" x14ac:dyDescent="0.3">
      <c r="A30" s="65"/>
      <c r="C30" s="73"/>
      <c r="D30" s="74" t="s">
        <v>31</v>
      </c>
      <c r="E30" s="74"/>
      <c r="F30" s="74"/>
      <c r="G30" s="74"/>
      <c r="H30" s="80"/>
      <c r="I30" s="76">
        <f>ROUND($J$18*2,0)</f>
        <v>90002</v>
      </c>
      <c r="J30" s="76">
        <f>+H30*I30</f>
        <v>0</v>
      </c>
      <c r="K30" s="71"/>
      <c r="L30" s="65"/>
      <c r="N30" s="72"/>
    </row>
    <row r="31" spans="1:14" s="66" customFormat="1" ht="15" customHeight="1" x14ac:dyDescent="0.3">
      <c r="A31" s="65"/>
      <c r="C31" s="73"/>
      <c r="D31" s="74" t="s">
        <v>32</v>
      </c>
      <c r="E31" s="74"/>
      <c r="F31" s="74"/>
      <c r="G31" s="74"/>
      <c r="H31" s="80"/>
      <c r="I31" s="76">
        <f>ROUND($J$18*0.3,0)</f>
        <v>13500</v>
      </c>
      <c r="J31" s="76">
        <f>+H31*I31</f>
        <v>0</v>
      </c>
      <c r="K31" s="71"/>
      <c r="L31" s="65"/>
      <c r="N31" s="72"/>
    </row>
    <row r="32" spans="1:14" s="66" customFormat="1" ht="15" customHeight="1" x14ac:dyDescent="0.3">
      <c r="A32" s="65"/>
      <c r="C32" s="73"/>
      <c r="D32" s="74" t="s">
        <v>33</v>
      </c>
      <c r="E32" s="74"/>
      <c r="F32" s="74"/>
      <c r="G32" s="74"/>
      <c r="H32" s="82"/>
      <c r="I32" s="83"/>
      <c r="J32" s="79"/>
      <c r="K32" s="71"/>
      <c r="L32" s="65"/>
      <c r="N32" s="72"/>
    </row>
    <row r="33" spans="1:16" s="66" customFormat="1" ht="15" customHeight="1" x14ac:dyDescent="0.3">
      <c r="A33" s="65"/>
      <c r="C33" s="73"/>
      <c r="D33" s="74" t="s">
        <v>34</v>
      </c>
      <c r="E33" s="84"/>
      <c r="F33" s="84"/>
      <c r="G33" s="85"/>
      <c r="H33" s="75"/>
      <c r="I33" s="76"/>
      <c r="J33" s="76"/>
      <c r="K33" s="71"/>
      <c r="L33" s="65"/>
      <c r="N33" s="72"/>
    </row>
    <row r="34" spans="1:16" s="66" customFormat="1" ht="15" customHeight="1" x14ac:dyDescent="0.3">
      <c r="A34" s="65"/>
      <c r="C34" s="73"/>
      <c r="D34" s="74" t="s">
        <v>35</v>
      </c>
      <c r="E34" s="84"/>
      <c r="F34" s="84"/>
      <c r="G34" s="85"/>
      <c r="H34" s="75"/>
      <c r="I34" s="76">
        <f>IF($M$17=0,$J$17,$M$17)</f>
        <v>260000</v>
      </c>
      <c r="J34" s="76">
        <f>H34*I34</f>
        <v>0</v>
      </c>
      <c r="K34" s="71"/>
      <c r="L34" s="65"/>
      <c r="N34" s="72"/>
    </row>
    <row r="35" spans="1:16" s="66" customFormat="1" ht="15" customHeight="1" x14ac:dyDescent="0.3">
      <c r="A35" s="65"/>
      <c r="C35" s="73"/>
      <c r="D35" s="74" t="s">
        <v>36</v>
      </c>
      <c r="E35" s="84"/>
      <c r="F35" s="84"/>
      <c r="G35" s="85"/>
      <c r="H35" s="75"/>
      <c r="I35" s="76">
        <f>$J$17+I25</f>
        <v>260000</v>
      </c>
      <c r="J35" s="76">
        <f>H35*I35</f>
        <v>0</v>
      </c>
      <c r="K35" s="71"/>
      <c r="L35" s="65"/>
      <c r="N35" s="72"/>
    </row>
    <row r="36" spans="1:16" s="66" customFormat="1" ht="15" customHeight="1" x14ac:dyDescent="0.3">
      <c r="A36" s="65"/>
      <c r="C36" s="73"/>
      <c r="D36" s="74" t="s">
        <v>37</v>
      </c>
      <c r="E36" s="84"/>
      <c r="F36" s="84"/>
      <c r="G36" s="85"/>
      <c r="H36" s="75"/>
      <c r="I36" s="76">
        <f>IF($M$17=0,$J$17,$M$17)</f>
        <v>260000</v>
      </c>
      <c r="J36" s="76">
        <f>H36*I36</f>
        <v>0</v>
      </c>
      <c r="K36" s="71"/>
      <c r="L36" s="65"/>
      <c r="N36" s="72"/>
    </row>
    <row r="37" spans="1:16" s="66" customFormat="1" ht="15" customHeight="1" x14ac:dyDescent="0.3">
      <c r="A37" s="65"/>
      <c r="C37" s="86"/>
      <c r="D37" s="87"/>
      <c r="E37" s="88"/>
      <c r="F37" s="88"/>
      <c r="G37" s="89"/>
      <c r="H37" s="90"/>
      <c r="I37" s="91"/>
      <c r="J37" s="92" t="s">
        <v>38</v>
      </c>
      <c r="K37" s="71"/>
      <c r="L37" s="65"/>
      <c r="N37" s="72"/>
    </row>
    <row r="38" spans="1:16" s="4" customFormat="1" ht="15" customHeight="1" x14ac:dyDescent="0.3">
      <c r="A38" s="5"/>
      <c r="H38" s="93"/>
      <c r="I38" s="94" t="s">
        <v>39</v>
      </c>
      <c r="J38" s="95">
        <f>SUBTOTAL(9,J23:J37)</f>
        <v>7800000</v>
      </c>
      <c r="K38" s="96"/>
      <c r="L38" s="5"/>
      <c r="N38" s="97"/>
    </row>
    <row r="39" spans="1:16" s="4" customFormat="1" ht="6" customHeight="1" x14ac:dyDescent="0.3">
      <c r="A39" s="5"/>
      <c r="H39" s="36"/>
      <c r="I39" s="98"/>
      <c r="J39" s="98"/>
      <c r="K39" s="99"/>
      <c r="L39" s="5"/>
    </row>
    <row r="40" spans="1:16" s="4" customFormat="1" ht="15" customHeight="1" x14ac:dyDescent="0.3">
      <c r="A40" s="5"/>
      <c r="C40" s="100"/>
      <c r="D40" s="101"/>
      <c r="E40" s="102"/>
      <c r="F40" s="102"/>
      <c r="G40" s="101" t="s">
        <v>40</v>
      </c>
      <c r="H40" s="103"/>
      <c r="I40" s="149"/>
      <c r="J40" s="155">
        <f>+IF((J38*1%)&lt;M40,(J38*1%),M40)</f>
        <v>28000</v>
      </c>
      <c r="K40" s="99"/>
      <c r="L40" s="5"/>
      <c r="M40" s="97">
        <f>350000*8*1%</f>
        <v>28000</v>
      </c>
      <c r="N40" s="4" t="s">
        <v>41</v>
      </c>
      <c r="O40" s="104"/>
      <c r="P40" s="10"/>
    </row>
    <row r="41" spans="1:16" s="4" customFormat="1" ht="15" customHeight="1" x14ac:dyDescent="0.3">
      <c r="A41" s="5"/>
      <c r="C41" s="105"/>
      <c r="D41" s="106"/>
      <c r="E41" s="107"/>
      <c r="F41" s="107"/>
      <c r="G41" s="106" t="s">
        <v>51</v>
      </c>
      <c r="H41" s="108"/>
      <c r="I41" s="150"/>
      <c r="J41" s="109">
        <f>+J38*1%</f>
        <v>78000</v>
      </c>
      <c r="K41" s="99"/>
      <c r="L41" s="5"/>
      <c r="M41" s="110"/>
      <c r="O41" s="104"/>
      <c r="P41" s="10"/>
    </row>
    <row r="42" spans="1:16" s="4" customFormat="1" ht="15" customHeight="1" x14ac:dyDescent="0.3">
      <c r="A42" s="5"/>
      <c r="C42" s="105"/>
      <c r="D42" s="106"/>
      <c r="E42" s="107"/>
      <c r="F42" s="107"/>
      <c r="G42" s="106" t="s">
        <v>55</v>
      </c>
      <c r="H42" s="108"/>
      <c r="I42" s="152">
        <v>0</v>
      </c>
      <c r="J42" s="109"/>
      <c r="K42" s="99"/>
      <c r="L42" s="5"/>
      <c r="M42" s="97"/>
      <c r="O42" s="97"/>
      <c r="P42" s="97"/>
    </row>
    <row r="43" spans="1:16" s="4" customFormat="1" ht="15" customHeight="1" x14ac:dyDescent="0.3">
      <c r="A43" s="5"/>
      <c r="C43" s="105"/>
      <c r="D43" s="106"/>
      <c r="E43" s="107"/>
      <c r="F43" s="107"/>
      <c r="G43" s="106" t="s">
        <v>59</v>
      </c>
      <c r="H43" s="108"/>
      <c r="I43" s="152">
        <v>0.05</v>
      </c>
      <c r="J43" s="111">
        <f>+IF(AND($F$59&gt;350000,$F$59&lt;=400000),50000*I43,IF($F$59&gt;400000,50000*I43,0))</f>
        <v>2500</v>
      </c>
      <c r="K43" s="99"/>
      <c r="L43" s="5"/>
      <c r="M43" s="110"/>
      <c r="O43" s="110"/>
      <c r="P43" s="110">
        <f>P42*5</f>
        <v>0</v>
      </c>
    </row>
    <row r="44" spans="1:16" s="4" customFormat="1" ht="15" customHeight="1" x14ac:dyDescent="0.3">
      <c r="A44" s="5"/>
      <c r="C44" s="105"/>
      <c r="D44" s="106"/>
      <c r="E44" s="107"/>
      <c r="F44" s="107"/>
      <c r="G44" s="106" t="s">
        <v>60</v>
      </c>
      <c r="H44" s="108"/>
      <c r="I44" s="152">
        <v>0.1</v>
      </c>
      <c r="J44" s="111">
        <f>+IF(AND($F$59&gt;400000,$F$59&lt;=500000),100000*I44,IF($F$59&gt;500000,100000*I44,0))</f>
        <v>10000</v>
      </c>
      <c r="K44" s="99"/>
      <c r="L44" s="5"/>
      <c r="M44" s="110"/>
      <c r="O44" s="110"/>
    </row>
    <row r="45" spans="1:16" s="4" customFormat="1" ht="15" customHeight="1" x14ac:dyDescent="0.3">
      <c r="A45" s="5"/>
      <c r="C45" s="105"/>
      <c r="D45" s="106"/>
      <c r="E45" s="107"/>
      <c r="F45" s="107"/>
      <c r="G45" s="106" t="s">
        <v>61</v>
      </c>
      <c r="H45" s="108"/>
      <c r="I45" s="152">
        <v>0.15</v>
      </c>
      <c r="J45" s="111">
        <f>+IF(AND($F$59&gt;500000,$F$59&lt;=600000),100000*I45,IF($F$59&gt;600000,100000*I45,0))</f>
        <v>15000</v>
      </c>
      <c r="K45" s="99"/>
      <c r="L45" s="5"/>
      <c r="M45" s="110"/>
      <c r="O45" s="110"/>
    </row>
    <row r="46" spans="1:16" s="4" customFormat="1" ht="15" customHeight="1" x14ac:dyDescent="0.3">
      <c r="A46" s="5"/>
      <c r="C46" s="105"/>
      <c r="D46" s="106"/>
      <c r="E46" s="107"/>
      <c r="F46" s="107"/>
      <c r="G46" s="106" t="s">
        <v>62</v>
      </c>
      <c r="H46" s="108"/>
      <c r="I46" s="152">
        <v>0.2</v>
      </c>
      <c r="J46" s="111">
        <f>+IF(AND($F$59&gt;600000,$F$59&lt;=4000000),100000*I46,IF($F$59&gt;600000,100000*I46,0))</f>
        <v>20000</v>
      </c>
      <c r="K46" s="99"/>
      <c r="L46" s="5"/>
      <c r="M46" s="110"/>
      <c r="O46" s="110"/>
    </row>
    <row r="47" spans="1:16" s="4" customFormat="1" ht="15" customHeight="1" x14ac:dyDescent="0.3">
      <c r="A47" s="5"/>
      <c r="C47" s="105"/>
      <c r="D47" s="106"/>
      <c r="E47" s="107"/>
      <c r="F47" s="107"/>
      <c r="G47" s="106" t="s">
        <v>63</v>
      </c>
      <c r="H47" s="108"/>
      <c r="I47" s="152">
        <v>0.25</v>
      </c>
      <c r="J47" s="111">
        <f>+IF($F$59&gt;4000000,($F$59-4000000)*I47,0)</f>
        <v>923500</v>
      </c>
      <c r="K47" s="99"/>
      <c r="L47" s="5"/>
      <c r="M47" s="110"/>
      <c r="O47" s="110"/>
    </row>
    <row r="48" spans="1:16" s="4" customFormat="1" ht="15" customHeight="1" x14ac:dyDescent="0.3">
      <c r="A48" s="5"/>
      <c r="C48" s="105"/>
      <c r="D48" s="106"/>
      <c r="E48" s="107"/>
      <c r="F48" s="107"/>
      <c r="G48" s="106"/>
      <c r="H48" s="108"/>
      <c r="I48" s="152"/>
      <c r="J48" s="111"/>
      <c r="K48" s="99"/>
      <c r="L48" s="5"/>
      <c r="M48" s="110"/>
      <c r="O48" s="110"/>
    </row>
    <row r="49" spans="1:16" s="4" customFormat="1" ht="15" customHeight="1" x14ac:dyDescent="0.3">
      <c r="A49" s="5"/>
      <c r="C49" s="105"/>
      <c r="D49" s="106"/>
      <c r="E49" s="107"/>
      <c r="F49" s="107"/>
      <c r="G49" s="153" t="s">
        <v>56</v>
      </c>
      <c r="H49" s="108"/>
      <c r="I49" s="150"/>
      <c r="J49" s="154">
        <f>SUM(J43:J47)</f>
        <v>971000</v>
      </c>
      <c r="K49" s="99"/>
      <c r="L49" s="5"/>
      <c r="M49" s="110"/>
      <c r="O49" s="97"/>
    </row>
    <row r="50" spans="1:16" s="4" customFormat="1" ht="15" customHeight="1" x14ac:dyDescent="0.3">
      <c r="A50" s="5"/>
      <c r="C50" s="112"/>
      <c r="D50" s="113"/>
      <c r="E50" s="114"/>
      <c r="F50" s="114"/>
      <c r="G50" s="113"/>
      <c r="H50" s="115"/>
      <c r="I50" s="151"/>
      <c r="J50" s="116"/>
      <c r="K50" s="99"/>
      <c r="L50" s="5"/>
      <c r="M50" s="110"/>
      <c r="O50" s="97"/>
    </row>
    <row r="51" spans="1:16" s="4" customFormat="1" ht="15" customHeight="1" x14ac:dyDescent="0.3">
      <c r="A51" s="5"/>
      <c r="C51" s="36"/>
      <c r="D51" s="36"/>
      <c r="E51" s="36"/>
      <c r="F51" s="36"/>
      <c r="G51" s="36"/>
      <c r="H51" s="93"/>
      <c r="I51" s="94" t="s">
        <v>42</v>
      </c>
      <c r="J51" s="95">
        <f>SUM(J49,J40,J41)</f>
        <v>1077000</v>
      </c>
      <c r="K51" s="96"/>
      <c r="L51" s="5"/>
      <c r="O51" s="97"/>
    </row>
    <row r="52" spans="1:16" s="118" customFormat="1" ht="15" customHeight="1" x14ac:dyDescent="0.3">
      <c r="A52" s="117"/>
      <c r="D52" s="4"/>
      <c r="G52" s="119"/>
      <c r="I52" s="120" t="s">
        <v>43</v>
      </c>
      <c r="J52" s="121"/>
      <c r="K52" s="122"/>
      <c r="L52" s="117"/>
      <c r="O52" s="123"/>
    </row>
    <row r="53" spans="1:16" s="4" customFormat="1" ht="13.2" x14ac:dyDescent="0.3">
      <c r="A53" s="5"/>
      <c r="C53" s="36"/>
      <c r="E53" s="36"/>
      <c r="F53" s="36"/>
      <c r="G53" s="36"/>
      <c r="H53" s="36"/>
      <c r="I53" s="124"/>
      <c r="J53" s="125"/>
      <c r="K53" s="96"/>
      <c r="L53" s="5"/>
      <c r="O53" s="97"/>
    </row>
    <row r="54" spans="1:16" s="4" customFormat="1" ht="15" customHeight="1" x14ac:dyDescent="0.3">
      <c r="A54" s="5"/>
      <c r="C54" s="36"/>
      <c r="E54" s="36"/>
      <c r="F54" s="36"/>
      <c r="G54" s="36"/>
      <c r="H54" s="93"/>
      <c r="I54" s="94" t="s">
        <v>44</v>
      </c>
      <c r="J54" s="126">
        <f>+J38-J51+J52</f>
        <v>6723000</v>
      </c>
      <c r="K54" s="96"/>
      <c r="L54" s="5"/>
      <c r="M54" s="97"/>
      <c r="O54" s="97"/>
    </row>
    <row r="55" spans="1:16" s="4" customFormat="1" ht="15" customHeight="1" x14ac:dyDescent="0.3">
      <c r="A55" s="5"/>
      <c r="C55" s="36"/>
      <c r="E55" s="36"/>
      <c r="F55" s="36"/>
      <c r="G55" s="36"/>
      <c r="H55" s="93"/>
      <c r="I55" s="94"/>
      <c r="J55" s="125"/>
      <c r="K55" s="96"/>
      <c r="L55" s="5"/>
      <c r="M55" s="97"/>
      <c r="O55" s="97"/>
    </row>
    <row r="56" spans="1:16" s="4" customFormat="1" ht="15" customHeight="1" x14ac:dyDescent="0.3">
      <c r="A56" s="5"/>
      <c r="C56" s="36"/>
      <c r="D56" s="36"/>
      <c r="E56" s="36"/>
      <c r="F56" s="36"/>
      <c r="G56" s="36"/>
      <c r="H56" s="93"/>
      <c r="I56" s="94"/>
      <c r="J56" s="125"/>
      <c r="K56" s="96"/>
      <c r="L56" s="5"/>
      <c r="M56" s="97"/>
      <c r="O56" s="97"/>
    </row>
    <row r="57" spans="1:16" s="4" customFormat="1" ht="13.2" x14ac:dyDescent="0.25">
      <c r="A57" s="5"/>
      <c r="C57" s="127" t="s">
        <v>45</v>
      </c>
      <c r="D57" s="128"/>
      <c r="E57" s="129"/>
      <c r="F57" s="130"/>
      <c r="G57" s="131"/>
      <c r="H57" s="93"/>
      <c r="I57" s="94"/>
      <c r="J57" s="125"/>
      <c r="K57" s="96"/>
      <c r="L57" s="5"/>
      <c r="O57" s="97"/>
    </row>
    <row r="58" spans="1:16" s="4" customFormat="1" ht="13.2" x14ac:dyDescent="0.3">
      <c r="A58" s="5"/>
      <c r="C58" s="132" t="s">
        <v>46</v>
      </c>
      <c r="D58" s="51"/>
      <c r="F58" s="133"/>
      <c r="G58" s="131"/>
      <c r="I58" s="134"/>
      <c r="J58" s="135"/>
      <c r="K58" s="96"/>
      <c r="L58" s="5"/>
      <c r="O58" s="97"/>
    </row>
    <row r="59" spans="1:16" s="4" customFormat="1" ht="13.2" x14ac:dyDescent="0.3">
      <c r="A59" s="5"/>
      <c r="C59" s="136" t="s">
        <v>47</v>
      </c>
      <c r="D59" s="137"/>
      <c r="E59" s="137"/>
      <c r="F59" s="138">
        <f>J38-J40-J41</f>
        <v>7694000</v>
      </c>
      <c r="G59" s="131"/>
      <c r="H59" s="93"/>
      <c r="I59" s="94"/>
      <c r="J59" s="125"/>
      <c r="K59" s="96"/>
      <c r="L59" s="5"/>
      <c r="M59" s="97"/>
      <c r="O59" s="110"/>
    </row>
    <row r="60" spans="1:16" s="4" customFormat="1" ht="6" customHeight="1" x14ac:dyDescent="0.3">
      <c r="A60" s="5"/>
      <c r="C60" s="36"/>
      <c r="D60" s="36"/>
      <c r="E60" s="139"/>
      <c r="F60" s="36"/>
      <c r="G60" s="36"/>
      <c r="H60" s="93"/>
      <c r="I60" s="94"/>
      <c r="J60" s="124"/>
      <c r="K60" s="96"/>
      <c r="L60" s="5"/>
      <c r="P60" s="110"/>
    </row>
    <row r="61" spans="1:16" s="4" customFormat="1" ht="13.2" x14ac:dyDescent="0.25">
      <c r="A61" s="5"/>
      <c r="D61" s="140" t="s">
        <v>48</v>
      </c>
      <c r="E61" s="141"/>
      <c r="F61" s="142" t="s">
        <v>52</v>
      </c>
      <c r="G61" s="143"/>
      <c r="H61" s="20"/>
      <c r="I61" s="143"/>
      <c r="J61" s="20"/>
      <c r="K61" s="99"/>
      <c r="L61" s="5"/>
      <c r="O61" s="110"/>
      <c r="P61" s="110"/>
    </row>
    <row r="62" spans="1:16" s="4" customFormat="1" ht="6" customHeight="1" x14ac:dyDescent="0.3">
      <c r="A62" s="5"/>
      <c r="H62" s="36"/>
      <c r="I62" s="98"/>
      <c r="J62" s="98"/>
      <c r="K62" s="99"/>
      <c r="L62" s="5"/>
      <c r="P62" s="110"/>
    </row>
    <row r="63" spans="1:16" s="4" customFormat="1" ht="13.2" x14ac:dyDescent="0.3">
      <c r="A63" s="5"/>
      <c r="C63" s="144"/>
      <c r="D63" s="145" t="s">
        <v>49</v>
      </c>
      <c r="E63" s="145"/>
      <c r="F63" s="145"/>
      <c r="G63" s="144"/>
      <c r="H63" s="139"/>
      <c r="I63" s="144" t="s">
        <v>50</v>
      </c>
      <c r="J63" s="144"/>
      <c r="K63" s="146"/>
      <c r="L63" s="5"/>
      <c r="P63" s="110"/>
    </row>
    <row r="64" spans="1:16" s="4" customFormat="1" ht="14.4" x14ac:dyDescent="0.3">
      <c r="A64" s="5"/>
      <c r="C64" s="144"/>
      <c r="E64" s="157"/>
      <c r="G64" s="144"/>
      <c r="H64" s="139"/>
      <c r="I64" s="144"/>
      <c r="J64" s="144"/>
      <c r="K64" s="146"/>
      <c r="L64" s="5"/>
      <c r="P64" s="110"/>
    </row>
    <row r="65" spans="1:1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P65" s="147"/>
    </row>
    <row r="66" spans="1:16" ht="13.2" hidden="1" x14ac:dyDescent="0.25"/>
    <row r="67" spans="1:16" ht="13.2" hidden="1" x14ac:dyDescent="0.25"/>
    <row r="68" spans="1:16" ht="13.2" hidden="1" x14ac:dyDescent="0.25"/>
    <row r="69" spans="1:16" ht="13.2" hidden="1" x14ac:dyDescent="0.25"/>
    <row r="70" spans="1:16" ht="13.2" hidden="1" x14ac:dyDescent="0.25"/>
    <row r="71" spans="1:16" ht="13.2" hidden="1" x14ac:dyDescent="0.25"/>
    <row r="72" spans="1:16" ht="13.2" hidden="1" x14ac:dyDescent="0.25"/>
    <row r="73" spans="1:16" ht="13.2" hidden="1" x14ac:dyDescent="0.25"/>
    <row r="74" spans="1:16" ht="13.2" hidden="1" x14ac:dyDescent="0.25"/>
    <row r="75" spans="1:16" ht="13.2" hidden="1" x14ac:dyDescent="0.25"/>
    <row r="76" spans="1:16" ht="13.2" hidden="1" x14ac:dyDescent="0.25"/>
    <row r="77" spans="1:16" ht="13.2" hidden="1" x14ac:dyDescent="0.25"/>
    <row r="78" spans="1:16" ht="13.2" hidden="1" x14ac:dyDescent="0.25"/>
    <row r="79" spans="1:16" ht="13.2" hidden="1" x14ac:dyDescent="0.25"/>
    <row r="80" spans="1:16" ht="13.2" hidden="1" x14ac:dyDescent="0.25"/>
    <row r="81" ht="13.2" hidden="1" x14ac:dyDescent="0.25"/>
    <row r="82" ht="13.2" hidden="1" x14ac:dyDescent="0.25"/>
    <row r="83" ht="13.2" hidden="1" x14ac:dyDescent="0.25"/>
    <row r="84" ht="13.2" hidden="1" x14ac:dyDescent="0.25"/>
    <row r="85" ht="13.2" hidden="1" x14ac:dyDescent="0.25"/>
    <row r="86" ht="13.2" hidden="1" x14ac:dyDescent="0.25"/>
    <row r="87" ht="13.2" hidden="1" x14ac:dyDescent="0.25"/>
    <row r="88" ht="13.2" hidden="1" x14ac:dyDescent="0.25"/>
    <row r="89" ht="13.2" hidden="1" x14ac:dyDescent="0.25"/>
    <row r="90" ht="13.2" hidden="1" x14ac:dyDescent="0.25"/>
    <row r="91" ht="13.2" hidden="1" x14ac:dyDescent="0.25"/>
    <row r="92" ht="13.2" hidden="1" x14ac:dyDescent="0.25"/>
    <row r="93" ht="13.2" hidden="1" x14ac:dyDescent="0.25"/>
    <row r="94" ht="13.2" hidden="1" x14ac:dyDescent="0.25"/>
    <row r="95" ht="13.2" hidden="1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</sheetData>
  <autoFilter ref="H22:J37"/>
  <printOptions horizontalCentered="1"/>
  <pageMargins left="0" right="0" top="0.78740157480314965" bottom="0.78740157480314965" header="0" footer="0"/>
  <pageSetup paperSize="9" scale="69" fitToHeight="5000" orientation="portrait" horizontalDpi="400" verticalDpi="4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FICHE</vt:lpstr>
      <vt:lpstr>FICHE!Zone_d_impression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Tovo</dc:creator>
  <cp:lastModifiedBy>ME-PC</cp:lastModifiedBy>
  <cp:lastPrinted>2023-07-12T09:19:32Z</cp:lastPrinted>
  <dcterms:created xsi:type="dcterms:W3CDTF">2022-07-06T05:29:44Z</dcterms:created>
  <dcterms:modified xsi:type="dcterms:W3CDTF">2025-11-02T15:34:00Z</dcterms:modified>
</cp:coreProperties>
</file>