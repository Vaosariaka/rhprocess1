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E" sheetId="1" state="visible" r:id="rId1"/>
    <sheet name="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t="inlineStr">
        <is>
          <t>FICHE DE PAIE</t>
        </is>
      </c>
    </row>
    <row r="2">
      <c r="A2" t="inlineStr">
        <is>
          <t>nb jours/mois</t>
        </is>
      </c>
      <c r="B2">
        <f>365/12</f>
        <v/>
      </c>
    </row>
    <row r="10">
      <c r="A10" t="inlineStr">
        <is>
          <t>Ancienneté (jours)</t>
        </is>
      </c>
      <c r="B10">
        <f>IF(AND(ISNUMBER(N10),ISNUMBER(B20)),N10-B20+1,"")</f>
        <v/>
      </c>
      <c r="C10" t="inlineStr">
        <is>
          <t>Années</t>
        </is>
      </c>
      <c r="D10">
        <f>IF(B10="","",INT(B10/365))</f>
        <v/>
      </c>
      <c r="E10" t="inlineStr">
        <is>
          <t>Mois</t>
        </is>
      </c>
      <c r="F10" t="inlineStr">
        <is>
          <t>2025-11-01</t>
        </is>
      </c>
      <c r="G10" t="inlineStr">
        <is>
          <t>Mois (calc)</t>
        </is>
      </c>
      <c r="H10">
        <f>IF(B10="","",INT(MOD(B10,365)/30))</f>
        <v/>
      </c>
      <c r="I10" t="inlineStr">
        <is>
          <t>Jours restants</t>
        </is>
      </c>
      <c r="J10">
        <f>IF(B10="","",MOD(B10,30))</f>
        <v/>
      </c>
      <c r="N10" t="inlineStr">
        <is>
          <t>2025-11-30</t>
        </is>
      </c>
    </row>
    <row r="16">
      <c r="A16" t="inlineStr">
        <is>
          <t>Nom et Prénoms</t>
        </is>
      </c>
      <c r="B16" t="inlineStr">
        <is>
          <t>ma sariaka</t>
        </is>
      </c>
      <c r="J16" s="1" t="n">
        <v>250000</v>
      </c>
    </row>
    <row r="17">
      <c r="A17" t="inlineStr">
        <is>
          <t>Matricule</t>
        </is>
      </c>
      <c r="B17" t="inlineStr">
        <is>
          <t>sariaka</t>
        </is>
      </c>
    </row>
    <row r="18">
      <c r="A18" t="inlineStr">
        <is>
          <t>Fonction</t>
        </is>
      </c>
      <c r="B18" t="inlineStr">
        <is>
          <t>manager IT</t>
        </is>
      </c>
    </row>
    <row r="19">
      <c r="A19" t="inlineStr">
        <is>
          <t>N° CNaPS</t>
        </is>
      </c>
      <c r="B19" t="inlineStr">
        <is>
          <t>etu003240</t>
        </is>
      </c>
    </row>
    <row r="20">
      <c r="A20" t="inlineStr">
        <is>
          <t>Date embauche</t>
        </is>
      </c>
      <c r="B20" t="inlineStr">
        <is>
          <t>2025-11-03</t>
        </is>
      </c>
    </row>
    <row r="21">
      <c r="A21" t="inlineStr">
        <is>
          <t>Classification</t>
        </is>
      </c>
      <c r="B21" t="inlineStr">
        <is>
          <t>CL</t>
        </is>
      </c>
    </row>
    <row r="22">
      <c r="A22" t="inlineStr">
        <is>
          <t>Mode paiement</t>
        </is>
      </c>
      <c r="B22" t="inlineStr">
        <is>
          <t>Virement</t>
        </is>
      </c>
    </row>
    <row r="23">
      <c r="A23" t="inlineStr">
        <is>
          <t>Salaire du [date début] au [date fin]</t>
        </is>
      </c>
      <c r="H23" t="inlineStr">
        <is>
          <t>1 mois</t>
        </is>
      </c>
      <c r="I23" t="inlineStr">
        <is>
          <t>Designation</t>
        </is>
      </c>
      <c r="J23" s="1">
        <f>IF(H23="1 mois",J16,I23*H23)</f>
        <v/>
      </c>
    </row>
    <row r="24">
      <c r="A24" t="inlineStr">
        <is>
          <t>Taux journalier</t>
        </is>
      </c>
      <c r="J24" s="1">
        <f>ROUND(J16/30,0)</f>
        <v/>
      </c>
    </row>
    <row r="25">
      <c r="A25" t="inlineStr">
        <is>
          <t>Taux horaire</t>
        </is>
      </c>
      <c r="J25" s="1">
        <f>ROUND(J16/173.33,0)</f>
        <v/>
      </c>
    </row>
    <row r="26">
      <c r="A26" t="inlineStr">
        <is>
          <t>Heures sup 30%</t>
        </is>
      </c>
      <c r="H26" t="n">
        <v>0</v>
      </c>
      <c r="J26" s="1">
        <f>ROUND(J25*1.3*H26,0)</f>
        <v/>
      </c>
    </row>
    <row r="27">
      <c r="A27" t="inlineStr">
        <is>
          <t>Heures sup 50%</t>
        </is>
      </c>
      <c r="H27" t="n">
        <v>0</v>
      </c>
      <c r="J27" s="1">
        <f>ROUND(J25*1.5*H27,0)</f>
        <v/>
      </c>
    </row>
    <row r="28">
      <c r="A28" t="inlineStr">
        <is>
          <t>Heures sup 100%</t>
        </is>
      </c>
      <c r="H28" t="n">
        <v>0</v>
      </c>
      <c r="J28" s="1">
        <f>ROUND(J25*2.0*H28,0)</f>
        <v/>
      </c>
    </row>
    <row r="29">
      <c r="A29" t="inlineStr">
        <is>
          <t>Majoration nuit 30%</t>
        </is>
      </c>
      <c r="H29" t="n">
        <v>0</v>
      </c>
      <c r="J29" s="1">
        <f>ROUND(J25*0.3*H29,0)</f>
        <v/>
      </c>
    </row>
    <row r="34">
      <c r="A34" t="inlineStr">
        <is>
          <t>Droits congés (jours)</t>
        </is>
      </c>
      <c r="H34" t="n">
        <v>0</v>
      </c>
      <c r="J34" s="1">
        <f>H34*J24</f>
        <v/>
      </c>
    </row>
    <row r="38">
      <c r="A38" t="inlineStr">
        <is>
          <t>Salaire brut</t>
        </is>
      </c>
      <c r="J38" s="1">
        <f>SUM(J23:J37)</f>
        <v/>
      </c>
    </row>
    <row r="40">
      <c r="A40" t="inlineStr">
        <is>
          <t>CNaPS 1% (employé)</t>
        </is>
      </c>
      <c r="J40" s="1">
        <f>ROUND(MIN(J38*0.01,M40),0)</f>
        <v/>
      </c>
      <c r="M40" t="n">
        <v>2800000</v>
      </c>
    </row>
    <row r="41">
      <c r="A41" t="inlineStr">
        <is>
          <t>Sanitaire 1%</t>
        </is>
      </c>
      <c r="J41" s="1">
        <f>ROUND(J38*0.01,0)</f>
        <v/>
      </c>
    </row>
    <row r="49">
      <c r="A49" t="inlineStr">
        <is>
          <t>IRSA</t>
        </is>
      </c>
      <c r="J49" s="1">
        <f>ROUND((MAX(0,MIN(J38-350000,50000))*0.05)+(MAX(0,MIN(J38-400000,100000))*0.10)+(MAX(0,MIN(J38-500000,100000))*0.15)+(MAX(0,MIN(J38-600000,3400000))*0.20)+(MAX(0,J38-4000000)*0.25),0)</f>
        <v/>
      </c>
    </row>
    <row r="51">
      <c r="A51" t="inlineStr">
        <is>
          <t>Total retenues</t>
        </is>
      </c>
      <c r="J51" s="1">
        <f>SUM(J40,J41,J49)</f>
        <v/>
      </c>
    </row>
    <row r="52">
      <c r="A52" t="inlineStr">
        <is>
          <t>Indemnites / Avantages</t>
        </is>
      </c>
      <c r="J52" s="1" t="n">
        <v>0</v>
      </c>
    </row>
    <row r="53">
      <c r="A53" t="inlineStr">
        <is>
          <t>Net a payer</t>
        </is>
      </c>
      <c r="J53" s="1">
        <f>J38-J51+J52</f>
        <v/>
      </c>
    </row>
    <row r="55">
      <c r="A55" t="inlineStr">
        <is>
          <t>Mode paiement</t>
        </is>
      </c>
      <c r="B55" t="inlineStr">
        <is>
          <t>Virement</t>
        </is>
      </c>
    </row>
    <row r="56">
      <c r="A56" t="inlineStr">
        <is>
          <t>Signature Employeur</t>
        </is>
      </c>
    </row>
    <row r="57">
      <c r="A57" t="inlineStr">
        <is>
          <t>Signature Salarié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variables_json</t>
        </is>
      </c>
    </row>
    <row r="2">
      <c r="A2" t="inlineStr">
        <is>
          <t>{"NOM": "ma sariaka", "MATRICULE": "sariaka", "FONCTION": "manager IT", "CNAPS_NUM": "etu003240", "DATE_EMBAUCHE": "2025-11-03", "DATE_DEBUT": "2025-11-01", "DATE_FIN": "2025-11-30", "SALAIRE_BASE": 250000.0}</t>
        </is>
      </c>
    </row>
    <row r="3"/>
    <row r="4">
      <c r="A4" t="inlineStr">
        <is>
          <t>generation_date</t>
        </is>
      </c>
      <c r="B4" t="inlineStr">
        <is>
          <t>2025-11-06T18:26:28.173296Z</t>
        </is>
      </c>
    </row>
    <row r="5">
      <c r="A5" t="inlineStr">
        <is>
          <t>generator_version</t>
        </is>
      </c>
      <c r="B5" t="inlineStr">
        <is>
          <t>script-openpyxl-v2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2025-11-06T18:26:28Z</dcterms:created>
  <dcterms:modified xsi:type="dcterms:W3CDTF">2025-11-06T19:44:23Z</dcterms:modified>
</cp:coreProperties>
</file>